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77d26a9b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156d1d84ec54360"/>
    <x:sheet xmlns:r="http://schemas.openxmlformats.org/officeDocument/2006/relationships" name="Skill Web" sheetId="2" r:id="Rf77af74e795849e6"/>
    <x:sheet xmlns:r="http://schemas.openxmlformats.org/officeDocument/2006/relationships" name="Resource Nodes" sheetId="3" r:id="R83e7cb381c534097"/>
    <x:sheet xmlns:r="http://schemas.openxmlformats.org/officeDocument/2006/relationships" name="Items Master" sheetId="4" r:id="R72d9db6fce044ac1"/>
    <x:sheet xmlns:r="http://schemas.openxmlformats.org/officeDocument/2006/relationships" name="Recipes" sheetId="5" r:id="Rad5e4c9861a5440d"/>
    <x:sheet xmlns:r="http://schemas.openxmlformats.org/officeDocument/2006/relationships" name="Monsters" sheetId="6" r:id="R7f121ca5ebaa4c33"/>
    <x:sheet xmlns:r="http://schemas.openxmlformats.org/officeDocument/2006/relationships" name="Drop Tables" sheetId="7" r:id="R36795c7dd9ce4034"/>
    <x:sheet xmlns:r="http://schemas.openxmlformats.org/officeDocument/2006/relationships" name="Monster Economy" sheetId="8" r:id="Ra57edefa0db84b0e"/>
    <x:sheet xmlns:r="http://schemas.openxmlformats.org/officeDocument/2006/relationships" name="Shops GP" sheetId="9" r:id="Rd5f2a3676e784cd4"/>
    <x:sheet xmlns:r="http://schemas.openxmlformats.org/officeDocument/2006/relationships" name="Progression Loops" sheetId="10" r:id="Rf31eaa6f2e644c98"/>
    <x:sheet xmlns:r="http://schemas.openxmlformats.org/officeDocument/2006/relationships" name="Region Plan" sheetId="11" r:id="Rcfca71a7a7774d75"/>
    <x:sheet xmlns:r="http://schemas.openxmlformats.org/officeDocument/2006/relationships" name="Balance Rules" sheetId="12" r:id="Reeeedbfa4dfb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6"/>
      <x:color rgb="FFF4D35E"/>
      <x:name val="Carlito"/>
    </x:font>
    <x:font>
      <x:b/>
      <x:sz val="11"/>
      <x:color rgb="FF2F261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2618"/>
      </x:patternFill>
    </x:fill>
    <x:fill>
      <x:patternFill patternType="solid">
        <x:fgColor rgb="FFEFE3B0"/>
      </x:patternFill>
    </x:fill>
    <x:fill>
      <x:patternFill patternType="solid">
        <x:fgColor rgb="FF5B3A1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d5c4e0fd94fc4" /><Relationship Type="http://schemas.openxmlformats.org/officeDocument/2006/relationships/theme" Target="/xl/theme/theme1.xml" Id="R6528d3b6f9044c22" /><Relationship Type="http://schemas.microsoft.com/office/2022/11/relationships/FeaturePropertyBag" Target="/xl/featurePropertyBag/featurePropertyBag.xml" Id="R20fb7a4e6cf14baa" /><Relationship Type="http://schemas.openxmlformats.org/officeDocument/2006/relationships/sharedStrings" Target="/xl/sharedStrings.xml" Id="Rd59d00de863b4426" /><Relationship Type="http://schemas.openxmlformats.org/officeDocument/2006/relationships/worksheet" Target="/xl/worksheets/sheet1.xml" Id="R1156d1d84ec54360" /><Relationship Type="http://schemas.openxmlformats.org/officeDocument/2006/relationships/worksheet" Target="/xl/worksheets/sheet2.xml" Id="Rf77af74e795849e6" /><Relationship Type="http://schemas.openxmlformats.org/officeDocument/2006/relationships/worksheet" Target="/xl/worksheets/sheet3.xml" Id="R83e7cb381c534097" /><Relationship Type="http://schemas.openxmlformats.org/officeDocument/2006/relationships/worksheet" Target="/xl/worksheets/sheet4.xml" Id="R72d9db6fce044ac1" /><Relationship Type="http://schemas.openxmlformats.org/officeDocument/2006/relationships/worksheet" Target="/xl/worksheets/sheet5.xml" Id="Rad5e4c9861a5440d" /><Relationship Type="http://schemas.openxmlformats.org/officeDocument/2006/relationships/worksheet" Target="/xl/worksheets/sheet6.xml" Id="R7f121ca5ebaa4c33" /><Relationship Type="http://schemas.openxmlformats.org/officeDocument/2006/relationships/worksheet" Target="/xl/worksheets/sheet7.xml" Id="R36795c7dd9ce4034" /><Relationship Type="http://schemas.openxmlformats.org/officeDocument/2006/relationships/worksheet" Target="/xl/worksheets/sheet8.xml" Id="Ra57edefa0db84b0e" /><Relationship Type="http://schemas.openxmlformats.org/officeDocument/2006/relationships/worksheet" Target="/xl/worksheets/sheet9.xml" Id="Rd5f2a3676e784cd4" /><Relationship Type="http://schemas.openxmlformats.org/officeDocument/2006/relationships/worksheet" Target="/xl/worksheets/sheet10.xml" Id="Rf31eaa6f2e644c98" /><Relationship Type="http://schemas.openxmlformats.org/officeDocument/2006/relationships/worksheet" Target="/xl/worksheets/sheet11.xml" Id="Rcfca71a7a7774d75" /><Relationship Type="http://schemas.openxmlformats.org/officeDocument/2006/relationships/worksheet" Target="/xl/worksheets/sheet12.xml" Id="Reeeedbfa4dfb48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killWeb" displayName="SkillWeb" ref="A1:F12" headerRowCount="1">
  <x:tableColumns count="6">
    <x:tableColumn id="1" name="Skill"/>
    <x:tableColumn id="2" name="Role"/>
    <x:tableColumn id="3" name="Consumes"/>
    <x:tableColumn id="4" name="Produces"/>
    <x:tableColumn id="5" name="Feeds"/>
    <x:tableColumn id="6" name="Design Rule"/>
  </x:tableColumns>
  <x:tableStyleInfo name="TableStyleMedium2" showRowStripes="1"/>
</x:table>
</file>

<file path=xl/tables/table2.xml><?xml version="1.0" encoding="utf-8"?>
<x:table xmlns:x="http://schemas.openxmlformats.org/spreadsheetml/2006/main" id="2" name="ResourceNodes" displayName="ResourceNodes" ref="A1:L32" headerRowCount="1">
  <x:tableColumns count="12">
    <x:tableColumn id="1" name="Resource ID"/>
    <x:tableColumn id="2" name="Name"/>
    <x:tableColumn id="3" name="Skill"/>
    <x:tableColumn id="4" name="Level"/>
    <x:tableColumn id="5" name="Region"/>
    <x:tableColumn id="6" name="Placement Type"/>
    <x:tableColumn id="7" name="Tool"/>
    <x:tableColumn id="8" name="Output Item ID"/>
    <x:tableColumn id="9" name="Respawn Sec"/>
    <x:tableColumn id="10" name="Base GP"/>
    <x:tableColumn id="11" name="Feed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temsMaster" displayName="ItemsMaster" ref="A1:L164" headerRowCount="1">
  <x:tableColumns count="12">
    <x:tableColumn id="1" name="Item ID"/>
    <x:tableColumn id="2" name="Name"/>
    <x:tableColumn id="3" name="Category"/>
    <x:tableColumn id="4" name="Tier"/>
    <x:tableColumn id="5" name="Stackable"/>
    <x:tableColumn id="6" name="Source"/>
    <x:tableColumn id="7" name="Skill Req"/>
    <x:tableColumn id="8" name="Equip Slot"/>
    <x:tableColumn id="9" name="Stats/Effect"/>
    <x:tableColumn id="10" name="Base GP"/>
    <x:tableColumn id="11" name="Sink"/>
    <x:tableColumn id="12" name="Feeds Skills"/>
  </x:tableColumns>
  <x:tableStyleInfo name="TableStyleMedium2" showRowStripes="1"/>
</x:table>
</file>

<file path=xl/tables/table4.xml><?xml version="1.0" encoding="utf-8"?>
<x:table xmlns:x="http://schemas.openxmlformats.org/spreadsheetml/2006/main" id="4" name="Recipes" displayName="Recipes" ref="A1:T39" headerRowCount="1">
  <x:tableColumns count="20">
    <x:tableColumn id="1" name="Recipe ID"/>
    <x:tableColumn id="2" name="Name"/>
    <x:tableColumn id="3" name="Station"/>
    <x:tableColumn id="4" name="Skill"/>
    <x:tableColumn id="5" name="Level"/>
    <x:tableColumn id="6" name="Input 1 ID"/>
    <x:tableColumn id="7" name="Qty 1"/>
    <x:tableColumn id="8" name="Input 2 ID"/>
    <x:tableColumn id="9" name="Qty 2"/>
    <x:tableColumn id="10" name="Input 3 ID"/>
    <x:tableColumn id="11" name="Qty 3"/>
    <x:tableColumn id="12" name="Input 4 ID"/>
    <x:tableColumn id="13" name="Qty 4"/>
    <x:tableColumn id="14" name="Output ID"/>
    <x:tableColumn id="15" name="Output Qty"/>
    <x:tableColumn id="16" name="XP"/>
    <x:tableColumn id="17" name="Recipe Notes"/>
    <x:tableColumn id="18" name="Material GP Formula"/>
    <x:tableColumn id="19" name="Output GP Formula"/>
    <x:tableColumn id="20" name="Value Delta"/>
  </x:tableColumns>
  <x:tableStyleInfo name="TableStyleMedium2" showRowStripes="1"/>
</x:table>
</file>

<file path=xl/tables/table5.xml><?xml version="1.0" encoding="utf-8"?>
<x:table xmlns:x="http://schemas.openxmlformats.org/spreadsheetml/2006/main" id="5" name="Monsters" displayName="Monsters" ref="A1:I31" headerRowCount="1">
  <x:tableColumns count="9">
    <x:tableColumn id="1" name="Monster ID"/>
    <x:tableColumn id="2" name="Name"/>
    <x:tableColumn id="3" name="Combat Level"/>
    <x:tableColumn id="4" name="Region"/>
    <x:tableColumn id="5" name="Style"/>
    <x:tableColumn id="6" name="Weakness"/>
    <x:tableColumn id="7" name="Connected Purpose"/>
    <x:tableColumn id="8" name="Common Drops"/>
    <x:tableColumn id="9" name="Unique Drop"/>
  </x:tableColumns>
  <x:tableStyleInfo name="TableStyleMedium2" showRowStripes="1"/>
</x:table>
</file>

<file path=xl/tables/table6.xml><?xml version="1.0" encoding="utf-8"?>
<x:table xmlns:x="http://schemas.openxmlformats.org/spreadsheetml/2006/main" id="6" name="DropTables" displayName="DropTables" ref="A1:I155" headerRowCount="1">
  <x:tableColumns count="9">
    <x:tableColumn id="1" name="Monster ID"/>
    <x:tableColumn id="2" name="Item ID"/>
    <x:tableColumn id="3" name="Chance %"/>
    <x:tableColumn id="4" name="Min Qty"/>
    <x:tableColumn id="5" name="Max Qty"/>
    <x:tableColumn id="6" name="Role"/>
    <x:tableColumn id="7" name="Avg Qty"/>
    <x:tableColumn id="8" name="Item GP"/>
    <x:tableColumn id="9" name="Expected GP/Kill"/>
  </x:tableColumns>
  <x:tableStyleInfo name="TableStyleMedium2" showRowStripes="1"/>
</x:table>
</file>

<file path=xl/tables/table7.xml><?xml version="1.0" encoding="utf-8"?>
<x:table xmlns:x="http://schemas.openxmlformats.org/spreadsheetml/2006/main" id="7" name="MonsterEconomy" displayName="MonsterEconomy" ref="A1:E31" headerRowCount="1">
  <x:tableColumns count="5">
    <x:tableColumn id="1" name="Monster ID"/>
    <x:tableColumn id="2" name="Name"/>
    <x:tableColumn id="3" name="Combat Level"/>
    <x:tableColumn id="4" name="Region"/>
    <x:tableColumn id="5" name="Expected GP / Kill"/>
  </x:tableColumns>
  <x:tableStyleInfo name="TableStyleMedium2" showRowStripes="1"/>
</x:table>
</file>

<file path=xl/tables/table8.xml><?xml version="1.0" encoding="utf-8"?>
<x:table xmlns:x="http://schemas.openxmlformats.org/spreadsheetml/2006/main" id="8" name="ShopsGP" displayName="ShopsGP" ref="A1:H17" headerRowCount="1">
  <x:tableColumns count="8">
    <x:tableColumn id="1" name="Shop"/>
    <x:tableColumn id="2" name="Region"/>
    <x:tableColumn id="3" name="Item ID"/>
    <x:tableColumn id="4" name="Base Stock GP"/>
    <x:tableColumn id="5" name="Buy Multiplier"/>
    <x:tableColumn id="6" name="Sell Multiplier"/>
    <x:tableColumn id="7" name="Unlock"/>
    <x:tableColumn id="8" name="Purpose"/>
  </x:tableColumns>
  <x:tableStyleInfo name="TableStyleMedium2" showRowStripes="1"/>
</x:table>
</file>

<file path=xl/tables/table9.xml><?xml version="1.0" encoding="utf-8"?>
<x:table xmlns:x="http://schemas.openxmlformats.org/spreadsheetml/2006/main" id="9" name="ProgressionLoops" displayName="ProgressionLoops" ref="A1:E9" headerRowCount="1">
  <x:tableColumns count="5">
    <x:tableColumn id="1" name="Loop"/>
    <x:tableColumn id="2" name="Skill Web"/>
    <x:tableColumn id="3" name="Steps"/>
    <x:tableColumn id="4" name="Key Items"/>
    <x:tableColumn id="5" name="Why It Matters"/>
  </x:tableColumns>
  <x:tableStyleInfo name="TableStyleMedium2" showRowStripes="1"/>
</x:table>
</file>

<file path=xl/tables/table10.xml><?xml version="1.0" encoding="utf-8"?>
<x:table xmlns:x="http://schemas.openxmlformats.org/spreadsheetml/2006/main" id="10" name="RegionPlan" displayName="RegionPlan" ref="A1:G13" headerRowCount="1">
  <x:tableColumns count="7">
    <x:tableColumn id="1" name="Region"/>
    <x:tableColumn id="2" name="Level Range"/>
    <x:tableColumn id="3" name="Resource Philosophy"/>
    <x:tableColumn id="4" name="Resources"/>
    <x:tableColumn id="5" name="Monsters"/>
    <x:tableColumn id="6" name="Infrastructure"/>
    <x:tableColumn id="7" name="Design Purpose"/>
  </x:tableColumns>
  <x:tableStyleInfo name="TableStyleMedium2" showRowStripes="1"/>
</x:table>
</file>

<file path=xl/tables/table11.xml><?xml version="1.0" encoding="utf-8"?>
<x:table xmlns:x="http://schemas.openxmlformats.org/spreadsheetml/2006/main" id="11" name="BalanceRules" displayName="BalanceRules" ref="A1:B11" headerRowCount="1">
  <x:tableColumns count="2">
    <x:tableColumn id="1" name="Rule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7b001eeb5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e9b855d80a4d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64a253c26745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8d5034b9ef49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99297ee32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bfb48b964048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8ea88a006042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f7a2290cf845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a3037bf8f64d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acb175873cb40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5806d17092f498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4" t="str">
        <x:v>Goblin Empire Economy + Item Cross-Pollination Design Pack</x:v>
      </x:c>
    </x:row>
    <x:row r="3">
      <x:c r="A3" s="10" t="str">
        <x:v>Purpose</x:v>
      </x:c>
      <x:c r="B3" s="14" t="str">
        <x:v>A data-first design workbook for skills, items, resources, recipes, monsters, drops, GP economy, shops, and cross-skill loops.</x:v>
      </x:c>
    </x:row>
    <x:row r="4">
      <x:c r="A4" s="10" t="str">
        <x:v>Core Rule</x:v>
      </x:c>
      <x:c r="B4" s="14" t="str">
        <x:v>No skill should exist in a silo. Every useful item should feed a skill, consume another skill, unlock travel, improve combat, complete a quest, or create a trade/sink.</x:v>
      </x:c>
    </x:row>
    <x:row r="5">
      <x:c r="A5" s="10" t="str">
        <x:v>Best Use</x:v>
      </x:c>
      <x:c r="B5" s="14" t="str">
        <x:v>Give this workbook to your coding agent as the source of truth for balancing and implementation.</x:v>
      </x:c>
    </x:row>
    <x:row r="6">
      <x:c r="A6" s="10" t="str">
        <x:v>Progression Rule</x:v>
      </x:c>
      <x:c r="B6" s="14" t="str">
        <x:v>Spawn is a sampler platter; regions are the buffet. Teaser nodes near town, real density in specialist regions.</x:v>
      </x:c>
    </x:row>
    <x:row r="7">
      <x:c r="A7" s="10" t="str">
        <x:v>Economy Rule</x:v>
      </x:c>
      <x:c r="B7" s="14" t="str">
        <x:v>GP value should follow utility: raw resources &lt; processed materials &lt; equipment/food &lt; uniques.</x:v>
      </x:c>
    </x:row>
    <x:row r="8">
      <x:c r="A8" s="10" t="str">
        <x:v>Important Loop</x:v>
      </x:c>
      <x:c r="B8" s="14" t="str">
        <x:v>Mine ore -&gt; smelt bars -&gt; smith tools -&gt; gather faster -&gt; craft better gear -&gt; survive better zones -&gt; unlock richer resources.</x:v>
      </x:c>
    </x:row>
    <x:row r="9">
      <x:c r="A9" s="10" t="str">
        <x:v>Included Sheets</x:v>
      </x:c>
      <x:c r="B9" s="14" t="str">
        <x:v>Skill Web, Resource Nodes, Items Master, Recipes, Monsters, Drop Tables, Shops GP, Progression Loops, Region Plan, Balance Rules.</x:v>
      </x:c>
    </x:row>
    <x:row r="10">
      <x:c r="A10" s="10" t="str">
        <x:v>Next Step</x:v>
      </x:c>
      <x:c r="B10" s="14" t="str">
        <x:v>Implement JSON/data loaders from these tables, then wire UI tooltips and recipe/drop systems to the data.</x:v>
      </x:c>
    </x:row>
    <x:row r="11">
      <x:c r="A11" s="10" t="str">
        <x:v>Version</x:v>
      </x:c>
      <x:c r="B11" s="14" t="str">
        <x:v>v2 enriched design pass</x:v>
      </x:c>
    </x:row>
    <x:row r="12">
      <x:c r="A12" s="10" t="str">
        <x:v>Created For</x:v>
      </x:c>
      <x:c r="B12" s="14" t="str">
        <x:v>Goblin Empire top-down RPG prototype</x:v>
      </x:c>
    </x:row>
    <x:row r="13">
      <x:c r="A13" s="10" t="str">
        <x:v>Warning</x:v>
      </x:c>
      <x:c r="B13" s="14" t="str">
        <x:v>Do not hardcode these values into UI components. Treat the data as a design contract.</x:v>
      </x:c>
    </x:row>
    <x:row r="14">
      <x:c r="A14" s="10" t="str">
        <x:v>Acceptance Test</x:v>
      </x:c>
      <x:c r="B14" s="14" t="str">
        <x:v>A player should naturally need several skills to accomplish one meaningful goal.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</x:cols>
  <x:sheetData>
    <x:row r="1" ht="15" hidden="0" customHeight="1">
      <x:c r="A1" s="20" t="str">
        <x:v>Skill</x:v>
      </x:c>
      <x:c r="B1" s="20" t="str">
        <x:v>Role</x:v>
      </x:c>
      <x:c r="C1" s="20" t="str">
        <x:v>Consumes</x:v>
      </x:c>
      <x:c r="D1" s="20" t="str">
        <x:v>Produces</x:v>
      </x:c>
      <x:c r="E1" s="20" t="str">
        <x:v>Feeds</x:v>
      </x:c>
      <x:c r="F1" s="20" t="str">
        <x:v>Design Rule</x:v>
      </x:c>
    </x:row>
    <x:row r="2" ht="15" hidden="0" customHeight="1">
      <x:c r="A2" s="26" t="str">
        <x:v>Woodcutting</x:v>
      </x:c>
      <x:c r="B2" s="26" t="str">
        <x:v>Primary material supply</x:v>
      </x:c>
      <x:c r="C2" s="26" t="str">
        <x:v>Axes, food for dangerous zones</x:v>
      </x:c>
      <x:c r="D2" s="26" t="str">
        <x:v>Logs, shafts, handles, planks, shrine fuel</x:v>
      </x:c>
      <x:c r="E2" s="26" t="str">
        <x:v>Cooking, Crafting, Smithing, Ranged, Construction/shortcuts</x:v>
      </x:c>
      <x:c r="F2" s="26" t="str">
        <x:v>Teaser nodes near spawn; true density in forest/water regions.</x:v>
      </x:c>
    </x:row>
    <x:row r="3" ht="15" hidden="0" customHeight="1">
      <x:c r="A3" s="26" t="str">
        <x:v>Fishing</x:v>
      </x:c>
      <x:c r="B3" s="26" t="str">
        <x:v>Food supply and travel prep</x:v>
      </x:c>
      <x:c r="C3" s="26" t="str">
        <x:v>Fishing tools, bait, region unlocks</x:v>
      </x:c>
      <x:c r="D3" s="26" t="str">
        <x:v>Raw fish, eel, rare lake food</x:v>
      </x:c>
      <x:c r="E3" s="26" t="str">
        <x:v>Cooking, Combat, Quests, Swamp prep</x:v>
      </x:c>
      <x:c r="F3" s="26" t="str">
        <x:v>Town water teaches fishing; Grublake/Riverlands specialize.</x:v>
      </x:c>
    </x:row>
    <x:row r="4" ht="15" hidden="0" customHeight="1">
      <x:c r="A4" s="26" t="str">
        <x:v>Mining</x:v>
      </x:c>
      <x:c r="B4" s="26" t="str">
        <x:v>Metal economy supply</x:v>
      </x:c>
      <x:c r="C4" s="26" t="str">
        <x:v>Pickaxes, food for caves</x:v>
      </x:c>
      <x:c r="D4" s="26" t="str">
        <x:v>Ore, stone, clay, gems, coal</x:v>
      </x:c>
      <x:c r="E4" s="26" t="str">
        <x:v>Smithing, Crafting, Ranged, Tool upgrades, Bridges</x:v>
      </x:c>
      <x:c r="F4" s="26" t="str">
        <x:v>Starter quarry teaches ore; mine hills and caves specialize.</x:v>
      </x:c>
    </x:row>
    <x:row r="5" ht="15" hidden="0" customHeight="1">
      <x:c r="A5" s="26" t="str">
        <x:v>Cooking</x:v>
      </x:c>
      <x:c r="B5" s="26" t="str">
        <x:v>Survival conversion skill</x:v>
      </x:c>
      <x:c r="C5" s="26" t="str">
        <x:v>Fish, meat, crops, herbs, logs/ranges</x:v>
      </x:c>
      <x:c r="D5" s="26" t="str">
        <x:v>Healing food, buffs, resist meals</x:v>
      </x:c>
      <x:c r="E5" s="26" t="str">
        <x:v>Combat, Exploration, Bossing, Dangerous gathering</x:v>
      </x:c>
      <x:c r="F5" s="26" t="str">
        <x:v>Food should be a real resource sink, not just vendor trash.</x:v>
      </x:c>
    </x:row>
    <x:row r="6" ht="15" hidden="0" customHeight="1">
      <x:c r="A6" s="26" t="str">
        <x:v>Smithing</x:v>
      </x:c>
      <x:c r="B6" s="26" t="str">
        <x:v>Gear and infrastructure production</x:v>
      </x:c>
      <x:c r="C6" s="26" t="str">
        <x:v>Ore, bars, coal, logs, monster parts</x:v>
      </x:c>
      <x:c r="D6" s="26" t="str">
        <x:v>Tools, weapons, armour, arrowheads, nails</x:v>
      </x:c>
      <x:c r="E6" s="26" t="str">
        <x:v>All gathering, Combat, Ranged, Region unlocks</x:v>
      </x:c>
      <x:c r="F6" s="26" t="str">
        <x:v>Smithing should unlock faster gathering and world shortcuts.</x:v>
      </x:c>
    </x:row>
    <x:row r="7" ht="15" hidden="0" customHeight="1">
      <x:c r="A7" s="26" t="str">
        <x:v>Crafting</x:v>
      </x:c>
      <x:c r="B7" s="26" t="str">
        <x:v>Cross-skill glue</x:v>
      </x:c>
      <x:c r="C7" s="26" t="str">
        <x:v>Hides, bones, logs, gems, silk, herbs, bars</x:v>
      </x:c>
      <x:c r="D7" s="26" t="str">
        <x:v>Bows, charms, bags, jewelry, light armour</x:v>
      </x:c>
      <x:c r="E7" s="26" t="str">
        <x:v>Ranged, Defence, Exploration, Utility, Quests</x:v>
      </x:c>
      <x:c r="F7" s="26" t="str">
        <x:v>Monster drops become useful through crafting.</x:v>
      </x:c>
    </x:row>
    <x:row r="8" ht="15" hidden="0" customHeight="1">
      <x:c r="A8" s="26" t="str">
        <x:v>Attack</x:v>
      </x:c>
      <x:c r="B8" s="26" t="str">
        <x:v>Weapon accuracy/tier</x:v>
      </x:c>
      <x:c r="C8" s="26" t="str">
        <x:v>Weapons, food, potions</x:v>
      </x:c>
      <x:c r="D8" s="26" t="str">
        <x:v>Combat access, monster drops</x:v>
      </x:c>
      <x:c r="E8" s="26" t="str">
        <x:v>Drops, quests, region safety</x:v>
      </x:c>
      <x:c r="F8" s="26" t="str">
        <x:v>Attack unlocks weapon classes, not raw progress alone.</x:v>
      </x:c>
    </x:row>
    <x:row r="9" ht="15" hidden="0" customHeight="1">
      <x:c r="A9" s="26" t="str">
        <x:v>Strength</x:v>
      </x:c>
      <x:c r="B9" s="26" t="str">
        <x:v>Damage scaling</x:v>
      </x:c>
      <x:c r="C9" s="26" t="str">
        <x:v>Weapons, buff food</x:v>
      </x:c>
      <x:c r="D9" s="26" t="str">
        <x:v>Faster kills, boss viability</x:v>
      </x:c>
      <x:c r="E9" s="26" t="str">
        <x:v>Drop acquisition, dangerous gathering</x:v>
      </x:c>
      <x:c r="F9" s="26" t="str">
        <x:v>Strength is supported by food and heavy weapon recipes.</x:v>
      </x:c>
    </x:row>
    <x:row r="10" ht="15" hidden="0" customHeight="1">
      <x:c r="A10" s="26" t="str">
        <x:v>Defence</x:v>
      </x:c>
      <x:c r="B10" s="26" t="str">
        <x:v>Survivability and armour tier</x:v>
      </x:c>
      <x:c r="C10" s="26" t="str">
        <x:v>Armour, shields, charms</x:v>
      </x:c>
      <x:c r="D10" s="26" t="str">
        <x:v>Safe exploration and boss access</x:v>
      </x:c>
      <x:c r="E10" s="26" t="str">
        <x:v>Mining, Swamp, Rival Camp, Troll Ridge</x:v>
      </x:c>
      <x:c r="F10" s="26" t="str">
        <x:v>Defence should make dangerous resources efficient, not mandatory walls.</x:v>
      </x:c>
    </x:row>
    <x:row r="11" ht="15" hidden="0" customHeight="1">
      <x:c r="A11" s="26" t="str">
        <x:v>Ranged</x:v>
      </x:c>
      <x:c r="B11" s="26" t="str">
        <x:v>Safe damage style</x:v>
      </x:c>
      <x:c r="C11" s="26" t="str">
        <x:v>Bows, arrows, poison, hides</x:v>
      </x:c>
      <x:c r="D11" s="26" t="str">
        <x:v>Combat access, unique drops</x:v>
      </x:c>
      <x:c r="E11" s="26" t="str">
        <x:v>Monster farming, bosses, dangerous zones</x:v>
      </x:c>
      <x:c r="F11" s="26" t="str">
        <x:v>Ranged must depend on Woodcutting + Crafting + Smithing + drops.</x:v>
      </x:c>
    </x:row>
    <x:row r="12" ht="15" hidden="0" customHeight="1">
      <x:c r="A12" s="26" t="str">
        <x:v>Hitpoints</x:v>
      </x:c>
      <x:c r="B12" s="26" t="str">
        <x:v>Risk tolerance</x:v>
      </x:c>
      <x:c r="C12" s="26" t="str">
        <x:v>Food, armour, positioning</x:v>
      </x:c>
      <x:c r="D12" s="26" t="str">
        <x:v>Practical access to danger rings</x:v>
      </x:c>
      <x:c r="E12" s="26" t="str">
        <x:v>All combat and remote gathering</x:v>
      </x:c>
      <x:c r="F12" s="26" t="str">
        <x:v>HP gates danger naturally through survival, not invisible walls.</x:v>
      </x:c>
    </x:row>
  </x:sheetData>
  <x:pageMargins left="0.7" right="0.7" top="0.75" bottom="0.75" header="0.3" footer="0.3"/>
  <x:tableParts count="1">
    <x:tablePart xmlns:r="http://schemas.openxmlformats.org/officeDocument/2006/relationships" r:id="R2f87b001eeb540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2" hidden="0" customWidth="1"/>
    <x:col min="12" max="12" width="32" hidden="0" customWidth="1"/>
  </x:cols>
  <x:sheetData>
    <x:row r="1" ht="15" hidden="0" customHeight="1">
      <x:c r="A1" s="20" t="str">
        <x:v>Resource ID</x:v>
      </x:c>
      <x:c r="B1" s="20" t="str">
        <x:v>Name</x:v>
      </x:c>
      <x:c r="C1" s="20" t="str">
        <x:v>Skill</x:v>
      </x:c>
      <x:c r="D1" s="20" t="str">
        <x:v>Level</x:v>
      </x:c>
      <x:c r="E1" s="20" t="str">
        <x:v>Region</x:v>
      </x:c>
      <x:c r="F1" s="20" t="str">
        <x:v>Placement Type</x:v>
      </x:c>
      <x:c r="G1" s="20" t="str">
        <x:v>Tool</x:v>
      </x:c>
      <x:c r="H1" s="20" t="str">
        <x:v>Output Item ID</x:v>
      </x:c>
      <x:c r="I1" s="20" t="str">
        <x:v>Respawn Sec</x:v>
      </x:c>
      <x:c r="J1" s="20" t="str">
        <x:v>Base GP</x:v>
      </x:c>
      <x:c r="K1" s="20" t="str">
        <x:v>Feeds</x:v>
      </x:c>
      <x:c r="L1" s="20" t="str">
        <x:v>Notes</x:v>
      </x:c>
    </x:row>
    <x:row r="2" ht="15" hidden="0" customHeight="1">
      <x:c r="A2" s="26" t="str">
        <x:v>normal_tree</x:v>
      </x:c>
      <x:c r="B2" s="26" t="str">
        <x:v>Normal Tree</x:v>
      </x:c>
      <x:c r="C2" s="26" t="str">
        <x:v>Woodcutting</x:v>
      </x:c>
      <x:c r="D2" s="26" t="n">
        <x:v>1</x:v>
      </x:c>
      <x:c r="E2" s="26" t="str">
        <x:v>Town Outskirts / Chopper Hollow</x:v>
      </x:c>
      <x:c r="F2" s="26" t="str">
        <x:v>Teaser+Common</x:v>
      </x:c>
      <x:c r="G2" s="26" t="str">
        <x:v>Crude Hatchet</x:v>
      </x:c>
      <x:c r="H2" s="26" t="str">
        <x:v>normal_logs</x:v>
      </x:c>
      <x:c r="I2" s="26" t="n">
        <x:v>20</x:v>
      </x:c>
      <x:c r="J2" s="26" t="n">
        <x:v>2</x:v>
      </x:c>
      <x:c r="K2" s="26" t="str">
        <x:v>fires, shafts, handles</x:v>
      </x:c>
      <x:c r="L2" s="26" t="str">
        <x:v>Common near spawn; basic loop resource</x:v>
      </x:c>
    </x:row>
    <x:row r="3" ht="15" hidden="0" customHeight="1">
      <x:c r="A3" s="26" t="str">
        <x:v>oak_tree</x:v>
      </x:c>
      <x:c r="B3" s="26" t="str">
        <x:v>Oak Tree</x:v>
      </x:c>
      <x:c r="C3" s="26" t="str">
        <x:v>Woodcutting</x:v>
      </x:c>
      <x:c r="D3" s="26" t="n">
        <x:v>10</x:v>
      </x:c>
      <x:c r="E3" s="26" t="str">
        <x:v>Chopper Hollow / Eastern Oakwoods</x:v>
      </x:c>
      <x:c r="F3" s="26" t="str">
        <x:v>Teaser+Training</x:v>
      </x:c>
      <x:c r="G3" s="26" t="str">
        <x:v>Bronze Hatchet</x:v>
      </x:c>
      <x:c r="H3" s="26" t="str">
        <x:v>oak_logs</x:v>
      </x:c>
      <x:c r="I3" s="26" t="n">
        <x:v>35</x:v>
      </x:c>
      <x:c r="J3" s="26" t="n">
        <x:v>8</x:v>
      </x:c>
      <x:c r="K3" s="26" t="str">
        <x:v>planks, bows, handles</x:v>
      </x:c>
      <x:c r="L3" s="26" t="str">
        <x:v>Place 2-5 near town as teaser</x:v>
      </x:c>
    </x:row>
    <x:row r="4" ht="15" hidden="0" customHeight="1">
      <x:c r="A4" s="26" t="str">
        <x:v>willow_tree</x:v>
      </x:c>
      <x:c r="B4" s="26" t="str">
        <x:v>Willow Tree</x:v>
      </x:c>
      <x:c r="C4" s="26" t="str">
        <x:v>Woodcutting</x:v>
      </x:c>
      <x:c r="D4" s="26" t="n">
        <x:v>20</x:v>
      </x:c>
      <x:c r="E4" s="26" t="str">
        <x:v>Willow Riverlands / Grublake</x:v>
      </x:c>
      <x:c r="F4" s="26" t="str">
        <x:v>Regional Specialist</x:v>
      </x:c>
      <x:c r="G4" s="26" t="str">
        <x:v>Iron Hatchet</x:v>
      </x:c>
      <x:c r="H4" s="26" t="str">
        <x:v>willow_logs</x:v>
      </x:c>
      <x:c r="I4" s="26" t="n">
        <x:v>45</x:v>
      </x:c>
      <x:c r="J4" s="26" t="n">
        <x:v>15</x:v>
      </x:c>
      <x:c r="K4" s="26" t="str">
        <x:v>bows, rods, fast XP</x:v>
      </x:c>
      <x:c r="L4" s="26" t="str">
        <x:v>Only tiny teaser near town water</x:v>
      </x:c>
    </x:row>
    <x:row r="5" ht="15" hidden="0" customHeight="1">
      <x:c r="A5" s="26" t="str">
        <x:v>deadwood_tree</x:v>
      </x:c>
      <x:c r="B5" s="26" t="str">
        <x:v>Deadwood Tree</x:v>
      </x:c>
      <x:c r="C5" s="26" t="str">
        <x:v>Woodcutting</x:v>
      </x:c>
      <x:c r="D5" s="26" t="n">
        <x:v>25</x:v>
      </x:c>
      <x:c r="E5" s="26" t="str">
        <x:v>Bog of Grub / Old Ruins</x:v>
      </x:c>
      <x:c r="F5" s="26" t="str">
        <x:v>Regional Specialist</x:v>
      </x:c>
      <x:c r="G5" s="26" t="str">
        <x:v>Iron Hatchet</x:v>
      </x:c>
      <x:c r="H5" s="26" t="str">
        <x:v>deadwood_logs</x:v>
      </x:c>
      <x:c r="I5" s="26" t="n">
        <x:v>55</x:v>
      </x:c>
      <x:c r="J5" s="26" t="n">
        <x:v>18</x:v>
      </x:c>
      <x:c r="K5" s="26" t="str">
        <x:v>swamp charms, shrine fuel</x:v>
      </x:c>
      <x:c r="L5" s="26" t="str">
        <x:v>Used for swamp progression</x:v>
      </x:c>
    </x:row>
    <x:row r="6" ht="15" hidden="0" customHeight="1">
      <x:c r="A6" s="26" t="str">
        <x:v>fungal_tree</x:v>
      </x:c>
      <x:c r="B6" s="26" t="str">
        <x:v>Fungal Tree</x:v>
      </x:c>
      <x:c r="C6" s="26" t="str">
        <x:v>Woodcutting</x:v>
      </x:c>
      <x:c r="D6" s="26" t="n">
        <x:v>40</x:v>
      </x:c>
      <x:c r="E6" s="26" t="str">
        <x:v>Mushroom Forest</x:v>
      </x:c>
      <x:c r="F6" s="26" t="str">
        <x:v>Regional Specialist</x:v>
      </x:c>
      <x:c r="G6" s="26" t="str">
        <x:v>Steel Hatchet</x:v>
      </x:c>
      <x:c r="H6" s="26" t="str">
        <x:v>fungal_logs</x:v>
      </x:c>
      <x:c r="I6" s="26" t="n">
        <x:v>75</x:v>
      </x:c>
      <x:c r="J6" s="26" t="n">
        <x:v>35</x:v>
      </x:c>
      <x:c r="K6" s="26" t="str">
        <x:v>mushroom crafting, charms</x:v>
      </x:c>
      <x:c r="L6" s="26" t="str">
        <x:v>Crosses with crafting/herblore-like systems</x:v>
      </x:c>
    </x:row>
    <x:row r="7" ht="15" hidden="0" customHeight="1">
      <x:c r="A7" s="26" t="str">
        <x:v>blackroot_tree</x:v>
      </x:c>
      <x:c r="B7" s="26" t="str">
        <x:v>Blackroot Tree</x:v>
      </x:c>
      <x:c r="C7" s="26" t="str">
        <x:v>Woodcutting</x:v>
      </x:c>
      <x:c r="D7" s="26" t="n">
        <x:v>50</x:v>
      </x:c>
      <x:c r="E7" s="26" t="str">
        <x:v>Deep Bog / Rival Edge</x:v>
      </x:c>
      <x:c r="F7" s="26" t="str">
        <x:v>Danger Specialist</x:v>
      </x:c>
      <x:c r="G7" s="26" t="str">
        <x:v>Steel Hatchet</x:v>
      </x:c>
      <x:c r="H7" s="26" t="str">
        <x:v>blackroot_logs</x:v>
      </x:c>
      <x:c r="I7" s="26" t="n">
        <x:v>95</x:v>
      </x:c>
      <x:c r="J7" s="26" t="n">
        <x:v>60</x:v>
      </x:c>
      <x:c r="K7" s="26" t="str">
        <x:v>poison bows, dark gear</x:v>
      </x:c>
      <x:c r="L7" s="26" t="str">
        <x:v>Guarded by swamp monsters</x:v>
      </x:c>
    </x:row>
    <x:row r="8" ht="15" hidden="0" customHeight="1">
      <x:c r="A8" s="26" t="str">
        <x:v>ironbark_tree</x:v>
      </x:c>
      <x:c r="B8" s="26" t="str">
        <x:v>Ironbark Tree</x:v>
      </x:c>
      <x:c r="C8" s="26" t="str">
        <x:v>Woodcutting</x:v>
      </x:c>
      <x:c r="D8" s="26" t="n">
        <x:v>60</x:v>
      </x:c>
      <x:c r="E8" s="26" t="str">
        <x:v>Troll Ridge lower woods</x:v>
      </x:c>
      <x:c r="F8" s="26" t="str">
        <x:v>Danger Specialist</x:v>
      </x:c>
      <x:c r="G8" s="26" t="str">
        <x:v>Black Iron Hatchet</x:v>
      </x:c>
      <x:c r="H8" s="26" t="str">
        <x:v>ironbark_logs</x:v>
      </x:c>
      <x:c r="I8" s="26" t="n">
        <x:v>120</x:v>
      </x:c>
      <x:c r="J8" s="26" t="n">
        <x:v>95</x:v>
      </x:c>
      <x:c r="K8" s="26" t="str">
        <x:v>high handles, shields</x:v>
      </x:c>
      <x:c r="L8" s="26" t="str">
        <x:v>Late game gathering goal</x:v>
      </x:c>
    </x:row>
    <x:row r="9" ht="15" hidden="0" customHeight="1">
      <x:c r="A9" s="26" t="str">
        <x:v>shrimp_spot</x:v>
      </x:c>
      <x:c r="B9" s="26" t="str">
        <x:v>Shrimp Spot</x:v>
      </x:c>
      <x:c r="C9" s="26" t="str">
        <x:v>Fishing</x:v>
      </x:c>
      <x:c r="D9" s="26" t="n">
        <x:v>1</x:v>
      </x:c>
      <x:c r="E9" s="26" t="str">
        <x:v>Town Water / Shallow River</x:v>
      </x:c>
      <x:c r="F9" s="26" t="str">
        <x:v>Teaser+Common</x:v>
      </x:c>
      <x:c r="G9" s="26" t="str">
        <x:v>Small Net</x:v>
      </x:c>
      <x:c r="H9" s="26" t="str">
        <x:v>raw_shrimp</x:v>
      </x:c>
      <x:c r="I9" s="26" t="n">
        <x:v>15</x:v>
      </x:c>
      <x:c r="J9" s="26" t="n">
        <x:v>2</x:v>
      </x:c>
      <x:c r="K9" s="26" t="str">
        <x:v>cooking, tutorial food</x:v>
      </x:c>
      <x:c r="L9" s="26" t="str">
        <x:v>Should be accessible within first 2 minutes</x:v>
      </x:c>
    </x:row>
    <x:row r="10" ht="15" hidden="0" customHeight="1">
      <x:c r="A10" s="26" t="str">
        <x:v>mudfish_spot</x:v>
      </x:c>
      <x:c r="B10" s="26" t="str">
        <x:v>Mudfish Spot</x:v>
      </x:c>
      <x:c r="C10" s="26" t="str">
        <x:v>Fishing</x:v>
      </x:c>
      <x:c r="D10" s="26" t="n">
        <x:v>5</x:v>
      </x:c>
      <x:c r="E10" s="26" t="str">
        <x:v>Muddy Banks</x:v>
      </x:c>
      <x:c r="F10" s="26" t="str">
        <x:v>Training</x:v>
      </x:c>
      <x:c r="G10" s="26" t="str">
        <x:v>Small Net</x:v>
      </x:c>
      <x:c r="H10" s="26" t="str">
        <x:v>raw_mudfish</x:v>
      </x:c>
      <x:c r="I10" s="26" t="n">
        <x:v>18</x:v>
      </x:c>
      <x:c r="J10" s="26" t="n">
        <x:v>4</x:v>
      </x:c>
      <x:c r="K10" s="26" t="str">
        <x:v>cheap food/bait loops</x:v>
      </x:c>
      <x:c r="L10" s="26" t="str">
        <x:v>Pairs with mud grubs</x:v>
      </x:c>
    </x:row>
    <x:row r="11" ht="15" hidden="0" customHeight="1">
      <x:c r="A11" s="26" t="str">
        <x:v>trout_spot</x:v>
      </x:c>
      <x:c r="B11" s="26" t="str">
        <x:v>Trout Spot</x:v>
      </x:c>
      <x:c r="C11" s="26" t="str">
        <x:v>Fishing</x:v>
      </x:c>
      <x:c r="D11" s="26" t="n">
        <x:v>10</x:v>
      </x:c>
      <x:c r="E11" s="26" t="str">
        <x:v>Willow Riverlands</x:v>
      </x:c>
      <x:c r="F11" s="26" t="str">
        <x:v>Training</x:v>
      </x:c>
      <x:c r="G11" s="26" t="str">
        <x:v>Rod + Bait</x:v>
      </x:c>
      <x:c r="H11" s="26" t="str">
        <x:v>raw_trout</x:v>
      </x:c>
      <x:c r="I11" s="26" t="n">
        <x:v>25</x:v>
      </x:c>
      <x:c r="J11" s="26" t="n">
        <x:v>8</x:v>
      </x:c>
      <x:c r="K11" s="26" t="str">
        <x:v>early combat food</x:v>
      </x:c>
      <x:c r="L11" s="26" t="str">
        <x:v>1-2 teaser spots near town river</x:v>
      </x:c>
    </x:row>
    <x:row r="12" ht="15" hidden="0" customHeight="1">
      <x:c r="A12" s="26" t="str">
        <x:v>river_eel_spot</x:v>
      </x:c>
      <x:c r="B12" s="26" t="str">
        <x:v>River Eel Spot</x:v>
      </x:c>
      <x:c r="C12" s="26" t="str">
        <x:v>Fishing</x:v>
      </x:c>
      <x:c r="D12" s="26" t="n">
        <x:v>15</x:v>
      </x:c>
      <x:c r="E12" s="26" t="str">
        <x:v>River Bends</x:v>
      </x:c>
      <x:c r="F12" s="26" t="str">
        <x:v>Training</x:v>
      </x:c>
      <x:c r="G12" s="26" t="str">
        <x:v>Rod + Bait</x:v>
      </x:c>
      <x:c r="H12" s="26" t="str">
        <x:v>raw_river_eel</x:v>
      </x:c>
      <x:c r="I12" s="26" t="n">
        <x:v>32</x:v>
      </x:c>
      <x:c r="J12" s="26" t="n">
        <x:v>12</x:v>
      </x:c>
      <x:c r="K12" s="26" t="str">
        <x:v>skewers, quests</x:v>
      </x:c>
      <x:c r="L12" s="26" t="str">
        <x:v>Bridge/river route food</x:v>
      </x:c>
    </x:row>
    <x:row r="13" ht="15" hidden="0" customHeight="1">
      <x:c r="A13" s="26" t="str">
        <x:v>pike_spot</x:v>
      </x:c>
      <x:c r="B13" s="26" t="str">
        <x:v>Pike Spot</x:v>
      </x:c>
      <x:c r="C13" s="26" t="str">
        <x:v>Fishing</x:v>
      </x:c>
      <x:c r="D13" s="26" t="n">
        <x:v>20</x:v>
      </x:c>
      <x:c r="E13" s="26" t="str">
        <x:v>Grublake Dock</x:v>
      </x:c>
      <x:c r="F13" s="26" t="str">
        <x:v>Regional Specialist</x:v>
      </x:c>
      <x:c r="G13" s="26" t="str">
        <x:v>Harpoon</x:v>
      </x:c>
      <x:c r="H13" s="26" t="str">
        <x:v>raw_pike</x:v>
      </x:c>
      <x:c r="I13" s="26" t="n">
        <x:v>45</x:v>
      </x:c>
      <x:c r="J13" s="26" t="n">
        <x:v>22</x:v>
      </x:c>
      <x:c r="K13" s="26" t="str">
        <x:v>mid-combat food</x:v>
      </x:c>
      <x:c r="L13" s="26" t="str">
        <x:v>Dock unlock improves density</x:v>
      </x:c>
    </x:row>
    <x:row r="14" ht="15" hidden="0" customHeight="1">
      <x:c r="A14" s="26" t="str">
        <x:v>bog_eel_spot</x:v>
      </x:c>
      <x:c r="B14" s="26" t="str">
        <x:v>Bog Eel Spot</x:v>
      </x:c>
      <x:c r="C14" s="26" t="str">
        <x:v>Fishing</x:v>
      </x:c>
      <x:c r="D14" s="26" t="n">
        <x:v>30</x:v>
      </x:c>
      <x:c r="E14" s="26" t="str">
        <x:v>Bog of Grub</x:v>
      </x:c>
      <x:c r="F14" s="26" t="str">
        <x:v>Danger Specialist</x:v>
      </x:c>
      <x:c r="G14" s="26" t="str">
        <x:v>Fishing Cage</x:v>
      </x:c>
      <x:c r="H14" s="26" t="str">
        <x:v>raw_bog_eel</x:v>
      </x:c>
      <x:c r="I14" s="26" t="n">
        <x:v>60</x:v>
      </x:c>
      <x:c r="J14" s="26" t="n">
        <x:v>45</x:v>
      </x:c>
      <x:c r="K14" s="26" t="str">
        <x:v>poison resist food</x:v>
      </x:c>
      <x:c r="L14" s="26" t="str">
        <x:v>Requires swamp prep</x:v>
      </x:c>
    </x:row>
    <x:row r="15" ht="15" hidden="0" customHeight="1">
      <x:c r="A15" s="26" t="str">
        <x:v>cavefish_spot</x:v>
      </x:c>
      <x:c r="B15" s="26" t="str">
        <x:v>Cavefish Spot</x:v>
      </x:c>
      <x:c r="C15" s="26" t="str">
        <x:v>Fishing</x:v>
      </x:c>
      <x:c r="D15" s="26" t="n">
        <x:v>50</x:v>
      </x:c>
      <x:c r="E15" s="26" t="str">
        <x:v>Deep Mine Pools</x:v>
      </x:c>
      <x:c r="F15" s="26" t="str">
        <x:v>Danger Specialist</x:v>
      </x:c>
      <x:c r="G15" s="26" t="str">
        <x:v>Cave Rod</x:v>
      </x:c>
      <x:c r="H15" s="26" t="str">
        <x:v>raw_cavefish</x:v>
      </x:c>
      <x:c r="I15" s="26" t="n">
        <x:v>90</x:v>
      </x:c>
      <x:c r="J15" s="26" t="n">
        <x:v>80</x:v>
      </x:c>
      <x:c r="K15" s="26" t="str">
        <x:v>cave food</x:v>
      </x:c>
      <x:c r="L15" s="26" t="str">
        <x:v>Supports mining expeditions</x:v>
      </x:c>
    </x:row>
    <x:row r="16" ht="15" hidden="0" customHeight="1">
      <x:c r="A16" s="26" t="str">
        <x:v>grubshark_spot</x:v>
      </x:c>
      <x:c r="B16" s="26" t="str">
        <x:v>Grubshark Spot</x:v>
      </x:c>
      <x:c r="C16" s="26" t="str">
        <x:v>Fishing</x:v>
      </x:c>
      <x:c r="D16" s="26" t="n">
        <x:v>70</x:v>
      </x:c>
      <x:c r="E16" s="26" t="str">
        <x:v>Deep Grublake / Boss Waters</x:v>
      </x:c>
      <x:c r="F16" s="26" t="str">
        <x:v>Rare Specialist</x:v>
      </x:c>
      <x:c r="G16" s="26" t="str">
        <x:v>Heavy Harpoon</x:v>
      </x:c>
      <x:c r="H16" s="26" t="str">
        <x:v>raw_grubshark</x:v>
      </x:c>
      <x:c r="I16" s="26" t="n">
        <x:v>150</x:v>
      </x:c>
      <x:c r="J16" s="26" t="n">
        <x:v>180</x:v>
      </x:c>
      <x:c r="K16" s="26" t="str">
        <x:v>boss food</x:v>
      </x:c>
      <x:c r="L16" s="26" t="str">
        <x:v>Rare high value food</x:v>
      </x:c>
    </x:row>
    <x:row r="17" ht="15" hidden="0" customHeight="1">
      <x:c r="A17" s="26" t="str">
        <x:v>copper_rock</x:v>
      </x:c>
      <x:c r="B17" s="26" t="str">
        <x:v>Copper Rock</x:v>
      </x:c>
      <x:c r="C17" s="26" t="str">
        <x:v>Mining</x:v>
      </x:c>
      <x:c r="D17" s="26" t="n">
        <x:v>1</x:v>
      </x:c>
      <x:c r="E17" s="26" t="str">
        <x:v>Starter Quarry</x:v>
      </x:c>
      <x:c r="F17" s="26" t="str">
        <x:v>Common</x:v>
      </x:c>
      <x:c r="G17" s="26" t="str">
        <x:v>Crude Pickaxe</x:v>
      </x:c>
      <x:c r="H17" s="26" t="str">
        <x:v>copper_ore</x:v>
      </x:c>
      <x:c r="I17" s="26" t="n">
        <x:v>20</x:v>
      </x:c>
      <x:c r="J17" s="26" t="n">
        <x:v>3</x:v>
      </x:c>
      <x:c r="K17" s="26" t="str">
        <x:v>bronze bars</x:v>
      </x:c>
      <x:c r="L17" s="26" t="str">
        <x:v>Basic tutorial ore</x:v>
      </x:c>
    </x:row>
    <x:row r="18" ht="15" hidden="0" customHeight="1">
      <x:c r="A18" s="26" t="str">
        <x:v>tin_rock</x:v>
      </x:c>
      <x:c r="B18" s="26" t="str">
        <x:v>Tin Rock</x:v>
      </x:c>
      <x:c r="C18" s="26" t="str">
        <x:v>Mining</x:v>
      </x:c>
      <x:c r="D18" s="26" t="n">
        <x:v>1</x:v>
      </x:c>
      <x:c r="E18" s="26" t="str">
        <x:v>Starter Quarry</x:v>
      </x:c>
      <x:c r="F18" s="26" t="str">
        <x:v>Common</x:v>
      </x:c>
      <x:c r="G18" s="26" t="str">
        <x:v>Crude Pickaxe</x:v>
      </x:c>
      <x:c r="H18" s="26" t="str">
        <x:v>tin_ore</x:v>
      </x:c>
      <x:c r="I18" s="26" t="n">
        <x:v>20</x:v>
      </x:c>
      <x:c r="J18" s="26" t="n">
        <x:v>3</x:v>
      </x:c>
      <x:c r="K18" s="26" t="str">
        <x:v>bronze bars</x:v>
      </x:c>
      <x:c r="L18" s="26" t="str">
        <x:v>Copper pair for bronze</x:v>
      </x:c>
    </x:row>
    <x:row r="19" ht="15" hidden="0" customHeight="1">
      <x:c r="A19" s="26" t="str">
        <x:v>clay_deposit</x:v>
      </x:c>
      <x:c r="B19" s="26" t="str">
        <x:v>Clay Deposit</x:v>
      </x:c>
      <x:c r="C19" s="26" t="str">
        <x:v>Mining</x:v>
      </x:c>
      <x:c r="D19" s="26" t="n">
        <x:v>10</x:v>
      </x:c>
      <x:c r="E19" s="26" t="str">
        <x:v>River/Quarry Edges</x:v>
      </x:c>
      <x:c r="F19" s="26" t="str">
        <x:v>Training</x:v>
      </x:c>
      <x:c r="G19" s="26" t="str">
        <x:v>Bronze Pickaxe</x:v>
      </x:c>
      <x:c r="H19" s="26" t="str">
        <x:v>clay</x:v>
      </x:c>
      <x:c r="I19" s="26" t="n">
        <x:v>25</x:v>
      </x:c>
      <x:c r="J19" s="26" t="n">
        <x:v>5</x:v>
      </x:c>
      <x:c r="K19" s="26" t="str">
        <x:v>bowls, molds, quests</x:v>
      </x:c>
      <x:c r="L19" s="26" t="str">
        <x:v>Connects cooking and crafting</x:v>
      </x:c>
    </x:row>
    <x:row r="20" ht="15" hidden="0" customHeight="1">
      <x:c r="A20" s="26" t="str">
        <x:v>iron_rock</x:v>
      </x:c>
      <x:c r="B20" s="26" t="str">
        <x:v>Iron Rock</x:v>
      </x:c>
      <x:c r="C20" s="26" t="str">
        <x:v>Mining</x:v>
      </x:c>
      <x:c r="D20" s="26" t="n">
        <x:v>15</x:v>
      </x:c>
      <x:c r="E20" s="26" t="str">
        <x:v>Grubpit Quarry / Mine Hills</x:v>
      </x:c>
      <x:c r="F20" s="26" t="str">
        <x:v>Teaser+Training</x:v>
      </x:c>
      <x:c r="G20" s="26" t="str">
        <x:v>Bronze Pickaxe</x:v>
      </x:c>
      <x:c r="H20" s="26" t="str">
        <x:v>iron_ore</x:v>
      </x:c>
      <x:c r="I20" s="26" t="n">
        <x:v>35</x:v>
      </x:c>
      <x:c r="J20" s="26" t="n">
        <x:v>12</x:v>
      </x:c>
      <x:c r="K20" s="26" t="str">
        <x:v>iron bars</x:v>
      </x:c>
      <x:c r="L20" s="26" t="str">
        <x:v>1 teaser in starter quarry</x:v>
      </x:c>
    </x:row>
    <x:row r="21" ht="15" hidden="0" customHeight="1">
      <x:c r="A21" s="26" t="str">
        <x:v>coal_rock</x:v>
      </x:c>
      <x:c r="B21" s="26" t="str">
        <x:v>Coal Rock</x:v>
      </x:c>
      <x:c r="C21" s="26" t="str">
        <x:v>Mining</x:v>
      </x:c>
      <x:c r="D21" s="26" t="n">
        <x:v>25</x:v>
      </x:c>
      <x:c r="E21" s="26" t="str">
        <x:v>Northern Mine Hills</x:v>
      </x:c>
      <x:c r="F21" s="26" t="str">
        <x:v>Regional Specialist</x:v>
      </x:c>
      <x:c r="G21" s="26" t="str">
        <x:v>Iron Pickaxe</x:v>
      </x:c>
      <x:c r="H21" s="26" t="str">
        <x:v>coal</x:v>
      </x:c>
      <x:c r="I21" s="26" t="n">
        <x:v>50</x:v>
      </x:c>
      <x:c r="J21" s="26" t="n">
        <x:v>25</x:v>
      </x:c>
      <x:c r="K21" s="26" t="str">
        <x:v>steel bars</x:v>
      </x:c>
      <x:c r="L21" s="26" t="str">
        <x:v>Fuel-gated smithing</x:v>
      </x:c>
    </x:row>
    <x:row r="22" ht="15" hidden="0" customHeight="1">
      <x:c r="A22" s="26" t="str">
        <x:v>silver_rock</x:v>
      </x:c>
      <x:c r="B22" s="26" t="str">
        <x:v>Silver Rock</x:v>
      </x:c>
      <x:c r="C22" s="26" t="str">
        <x:v>Mining</x:v>
      </x:c>
      <x:c r="D22" s="26" t="n">
        <x:v>30</x:v>
      </x:c>
      <x:c r="E22" s="26" t="str">
        <x:v>Mine Hills / Old Ruins</x:v>
      </x:c>
      <x:c r="F22" s="26" t="str">
        <x:v>Specialist</x:v>
      </x:c>
      <x:c r="G22" s="26" t="str">
        <x:v>Iron Pickaxe</x:v>
      </x:c>
      <x:c r="H22" s="26" t="str">
        <x:v>silver_ore</x:v>
      </x:c>
      <x:c r="I22" s="26" t="n">
        <x:v>55</x:v>
      </x:c>
      <x:c r="J22" s="26" t="n">
        <x:v>35</x:v>
      </x:c>
      <x:c r="K22" s="26" t="str">
        <x:v>charms, jewelry</x:v>
      </x:c>
      <x:c r="L22" s="26" t="str">
        <x:v>Good crafting bridge</x:v>
      </x:c>
    </x:row>
    <x:row r="23" ht="15" hidden="0" customHeight="1">
      <x:c r="A23" s="26" t="str">
        <x:v>gold_rock</x:v>
      </x:c>
      <x:c r="B23" s="26" t="str">
        <x:v>Gold Rock</x:v>
      </x:c>
      <x:c r="C23" s="26" t="str">
        <x:v>Mining</x:v>
      </x:c>
      <x:c r="D23" s="26" t="n">
        <x:v>40</x:v>
      </x:c>
      <x:c r="E23" s="26" t="str">
        <x:v>Deep Mine / Troll Ridge</x:v>
      </x:c>
      <x:c r="F23" s="26" t="str">
        <x:v>Danger Specialist</x:v>
      </x:c>
      <x:c r="G23" s="26" t="str">
        <x:v>Steel Pickaxe</x:v>
      </x:c>
      <x:c r="H23" s="26" t="str">
        <x:v>gold_ore</x:v>
      </x:c>
      <x:c r="I23" s="26" t="n">
        <x:v>75</x:v>
      </x:c>
      <x:c r="J23" s="26" t="n">
        <x:v>75</x:v>
      </x:c>
      <x:c r="K23" s="26" t="str">
        <x:v>jewelry, shrine, GP</x:v>
      </x:c>
      <x:c r="L23" s="26" t="str">
        <x:v>High economy node</x:v>
      </x:c>
    </x:row>
    <x:row r="24" ht="15" hidden="0" customHeight="1">
      <x:c r="A24" s="26" t="str">
        <x:v>black_iron_rock</x:v>
      </x:c>
      <x:c r="B24" s="26" t="str">
        <x:v>Black Iron Rock</x:v>
      </x:c>
      <x:c r="C24" s="26" t="str">
        <x:v>Mining</x:v>
      </x:c>
      <x:c r="D24" s="26" t="n">
        <x:v>50</x:v>
      </x:c>
      <x:c r="E24" s="26" t="str">
        <x:v>Rival Territory / Deep Mine</x:v>
      </x:c>
      <x:c r="F24" s="26" t="str">
        <x:v>Danger Specialist</x:v>
      </x:c>
      <x:c r="G24" s="26" t="str">
        <x:v>Steel Pickaxe</x:v>
      </x:c>
      <x:c r="H24" s="26" t="str">
        <x:v>black_iron_ore</x:v>
      </x:c>
      <x:c r="I24" s="26" t="n">
        <x:v>100</x:v>
      </x:c>
      <x:c r="J24" s="26" t="n">
        <x:v>115</x:v>
      </x:c>
      <x:c r="K24" s="26" t="str">
        <x:v>clan gear</x:v>
      </x:c>
      <x:c r="L24" s="26" t="str">
        <x:v>Guarded by rival goblins</x:v>
      </x:c>
    </x:row>
    <x:row r="25" ht="15" hidden="0" customHeight="1">
      <x:c r="A25" s="26" t="str">
        <x:v>gem_rock</x:v>
      </x:c>
      <x:c r="B25" s="26" t="str">
        <x:v>Gem Rock</x:v>
      </x:c>
      <x:c r="C25" s="26" t="str">
        <x:v>Mining</x:v>
      </x:c>
      <x:c r="D25" s="26" t="n">
        <x:v>60</x:v>
      </x:c>
      <x:c r="E25" s="26" t="str">
        <x:v>Deep Mine / Troll Ridge</x:v>
      </x:c>
      <x:c r="F25" s="26" t="str">
        <x:v>Rare Specialist</x:v>
      </x:c>
      <x:c r="G25" s="26" t="str">
        <x:v>Black Iron Pickaxe</x:v>
      </x:c>
      <x:c r="H25" s="26" t="str">
        <x:v>uncut_gem</x:v>
      </x:c>
      <x:c r="I25" s="26" t="n">
        <x:v>120</x:v>
      </x:c>
      <x:c r="J25" s="26" t="n">
        <x:v>160</x:v>
      </x:c>
      <x:c r="K25" s="26" t="str">
        <x:v>rings, amulets</x:v>
      </x:c>
      <x:c r="L25" s="26" t="str">
        <x:v>Rare crafting spike</x:v>
      </x:c>
    </x:row>
    <x:row r="26" ht="15" hidden="0" customHeight="1">
      <x:c r="A26" s="26" t="str">
        <x:v>meteor_node</x:v>
      </x:c>
      <x:c r="B26" s="26" t="str">
        <x:v>Meteor Shard Node</x:v>
      </x:c>
      <x:c r="C26" s="26" t="str">
        <x:v>Mining</x:v>
      </x:c>
      <x:c r="D26" s="26" t="n">
        <x:v>80</x:v>
      </x:c>
      <x:c r="E26" s="26" t="str">
        <x:v>Meteor Crater Event</x:v>
      </x:c>
      <x:c r="F26" s="26" t="str">
        <x:v>Event Specialist</x:v>
      </x:c>
      <x:c r="G26" s="26" t="str">
        <x:v>Black Iron Pickaxe</x:v>
      </x:c>
      <x:c r="H26" s="26" t="str">
        <x:v>meteor_shard</x:v>
      </x:c>
      <x:c r="I26" s="26" t="n">
        <x:v>240</x:v>
      </x:c>
      <x:c r="J26" s="26" t="n">
        <x:v>500</x:v>
      </x:c>
      <x:c r="K26" s="26" t="str">
        <x:v>legendary gear</x:v>
      </x:c>
      <x:c r="L26" s="26" t="str">
        <x:v>Event/rare spawn only</x:v>
      </x:c>
    </x:row>
    <x:row r="27" ht="15" hidden="0" customHeight="1">
      <x:c r="A27" s="26" t="str">
        <x:v>potato_patch</x:v>
      </x:c>
      <x:c r="B27" s="26" t="str">
        <x:v>Potato Patch</x:v>
      </x:c>
      <x:c r="C27" s="26" t="str">
        <x:v>Farming</x:v>
      </x:c>
      <x:c r="D27" s="26" t="n">
        <x:v>1</x:v>
      </x:c>
      <x:c r="E27" s="26" t="str">
        <x:v>Town Farm</x:v>
      </x:c>
      <x:c r="F27" s="26" t="str">
        <x:v>Common</x:v>
      </x:c>
      <x:c r="G27" s="26" t="str">
        <x:v>Seed Dibber</x:v>
      </x:c>
      <x:c r="H27" s="26" t="str">
        <x:v>potato</x:v>
      </x:c>
      <x:c r="I27" s="26" t="n">
        <x:v>60</x:v>
      </x:c>
      <x:c r="J27" s="26" t="n">
        <x:v>3</x:v>
      </x:c>
      <x:c r="K27" s="26" t="str">
        <x:v>stews, quests</x:v>
      </x:c>
      <x:c r="L27" s="26" t="str">
        <x:v>Basic food extender</x:v>
      </x:c>
    </x:row>
    <x:row r="28" ht="15" hidden="0" customHeight="1">
      <x:c r="A28" s="26" t="str">
        <x:v>cabbage_patch</x:v>
      </x:c>
      <x:c r="B28" s="26" t="str">
        <x:v>Cabbage Patch</x:v>
      </x:c>
      <x:c r="C28" s="26" t="str">
        <x:v>Farming</x:v>
      </x:c>
      <x:c r="D28" s="26" t="n">
        <x:v>5</x:v>
      </x:c>
      <x:c r="E28" s="26" t="str">
        <x:v>Town Farm</x:v>
      </x:c>
      <x:c r="F28" s="26" t="str">
        <x:v>Common</x:v>
      </x:c>
      <x:c r="G28" s="26" t="str">
        <x:v>Seed Dibber</x:v>
      </x:c>
      <x:c r="H28" s="26" t="str">
        <x:v>cabbage</x:v>
      </x:c>
      <x:c r="I28" s="26" t="n">
        <x:v>70</x:v>
      </x:c>
      <x:c r="J28" s="26" t="n">
        <x:v>4</x:v>
      </x:c>
      <x:c r="K28" s="26" t="str">
        <x:v>stews, quests</x:v>
      </x:c>
      <x:c r="L28" s="26" t="str">
        <x:v>Cheap cooking ingredient</x:v>
      </x:c>
    </x:row>
    <x:row r="29" ht="15" hidden="0" customHeight="1">
      <x:c r="A29" s="26" t="str">
        <x:v>onion_patch</x:v>
      </x:c>
      <x:c r="B29" s="26" t="str">
        <x:v>Onion Patch</x:v>
      </x:c>
      <x:c r="C29" s="26" t="str">
        <x:v>Farming</x:v>
      </x:c>
      <x:c r="D29" s="26" t="n">
        <x:v>10</x:v>
      </x:c>
      <x:c r="E29" s="26" t="str">
        <x:v>Main Farmlands</x:v>
      </x:c>
      <x:c r="F29" s="26" t="str">
        <x:v>Training</x:v>
      </x:c>
      <x:c r="G29" s="26" t="str">
        <x:v>Seed Dibber</x:v>
      </x:c>
      <x:c r="H29" s="26" t="str">
        <x:v>onion</x:v>
      </x:c>
      <x:c r="I29" s="26" t="n">
        <x:v>80</x:v>
      </x:c>
      <x:c r="J29" s="26" t="n">
        <x:v>8</x:v>
      </x:c>
      <x:c r="K29" s="26" t="str">
        <x:v>stews, bait mixes</x:v>
      </x:c>
      <x:c r="L29" s="26" t="str">
        <x:v>Bridge between farming/cooking</x:v>
      </x:c>
    </x:row>
    <x:row r="30" ht="15" hidden="0" customHeight="1">
      <x:c r="A30" s="26" t="str">
        <x:v>basic_herb_patch</x:v>
      </x:c>
      <x:c r="B30" s="26" t="str">
        <x:v>Basic Herb Patch</x:v>
      </x:c>
      <x:c r="C30" s="26" t="str">
        <x:v>Farming</x:v>
      </x:c>
      <x:c r="D30" s="26" t="n">
        <x:v>10</x:v>
      </x:c>
      <x:c r="E30" s="26" t="str">
        <x:v>Main Farmlands</x:v>
      </x:c>
      <x:c r="F30" s="26" t="str">
        <x:v>Training</x:v>
      </x:c>
      <x:c r="G30" s="26" t="str">
        <x:v>Rake + Dibber</x:v>
      </x:c>
      <x:c r="H30" s="26" t="str">
        <x:v>basic_herb</x:v>
      </x:c>
      <x:c r="I30" s="26" t="n">
        <x:v>120</x:v>
      </x:c>
      <x:c r="J30" s="26" t="n">
        <x:v>15</x:v>
      </x:c>
      <x:c r="K30" s="26" t="str">
        <x:v>meals, charms</x:v>
      </x:c>
      <x:c r="L30" s="26" t="str">
        <x:v>Useful early seasoning/buffs</x:v>
      </x:c>
    </x:row>
    <x:row r="31" ht="15" hidden="0" customHeight="1">
      <x:c r="A31" s="26" t="str">
        <x:v>swamp_herb_node</x:v>
      </x:c>
      <x:c r="B31" s="26" t="str">
        <x:v>Swamp Herb</x:v>
      </x:c>
      <x:c r="C31" s="26" t="str">
        <x:v>Farming</x:v>
      </x:c>
      <x:c r="D31" s="26" t="n">
        <x:v>25</x:v>
      </x:c>
      <x:c r="E31" s="26" t="str">
        <x:v>Bog Edge / Bog of Grub</x:v>
      </x:c>
      <x:c r="F31" s="26" t="str">
        <x:v>Danger Specialist</x:v>
      </x:c>
      <x:c r="G31" s="26" t="str">
        <x:v>Knife/Sickle</x:v>
      </x:c>
      <x:c r="H31" s="26" t="str">
        <x:v>swamp_herb</x:v>
      </x:c>
      <x:c r="I31" s="26" t="n">
        <x:v>150</x:v>
      </x:c>
      <x:c r="J31" s="26" t="n">
        <x:v>45</x:v>
      </x:c>
      <x:c r="K31" s="26" t="str">
        <x:v>poison resist, charms</x:v>
      </x:c>
      <x:c r="L31" s="26" t="str">
        <x:v>Tiny teaser at safe bog edge</x:v>
      </x:c>
    </x:row>
    <x:row r="32" ht="15" hidden="0" customHeight="1">
      <x:c r="A32" s="26" t="str">
        <x:v>strange_mushroom_node</x:v>
      </x:c>
      <x:c r="B32" s="26" t="str">
        <x:v>Strange Mushroom</x:v>
      </x:c>
      <x:c r="C32" s="26" t="str">
        <x:v>Foraging/Crafting</x:v>
      </x:c>
      <x:c r="D32" s="26" t="n">
        <x:v>20</x:v>
      </x:c>
      <x:c r="E32" s="26" t="str">
        <x:v>Mushroom Forest</x:v>
      </x:c>
      <x:c r="F32" s="26" t="str">
        <x:v>Specialist</x:v>
      </x:c>
      <x:c r="G32" s="26" t="str">
        <x:v>Knife</x:v>
      </x:c>
      <x:c r="H32" s="26" t="str">
        <x:v>strange_mushroom</x:v>
      </x:c>
      <x:c r="I32" s="26" t="n">
        <x:v>120</x:v>
      </x:c>
      <x:c r="J32" s="26" t="n">
        <x:v>35</x:v>
      </x:c>
      <x:c r="K32" s="26" t="str">
        <x:v>soups, potions, quests</x:v>
      </x:c>
      <x:c r="L32" s="26" t="str">
        <x:v>Defines Mushroom Forest 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b6e9b855d80a4d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5" hidden="0" customHeight="1">
      <x:c r="A1" s="20" t="str">
        <x:v>Item ID</x:v>
      </x:c>
      <x:c r="B1" s="20" t="str">
        <x:v>Name</x:v>
      </x:c>
      <x:c r="C1" s="20" t="str">
        <x:v>Category</x:v>
      </x:c>
      <x:c r="D1" s="20" t="str">
        <x:v>Tier</x:v>
      </x:c>
      <x:c r="E1" s="20" t="str">
        <x:v>Stackable</x:v>
      </x:c>
      <x:c r="F1" s="20" t="str">
        <x:v>Source</x:v>
      </x:c>
      <x:c r="G1" s="20" t="str">
        <x:v>Skill Req</x:v>
      </x:c>
      <x:c r="H1" s="20" t="str">
        <x:v>Equip Slot</x:v>
      </x:c>
      <x:c r="I1" s="20" t="str">
        <x:v>Stats/Effect</x:v>
      </x:c>
      <x:c r="J1" s="20" t="str">
        <x:v>Base GP</x:v>
      </x:c>
      <x:c r="K1" s="20" t="str">
        <x:v>Sink</x:v>
      </x:c>
      <x:c r="L1" s="20" t="str">
        <x:v>Feeds Skills</x:v>
      </x:c>
    </x:row>
    <x:row r="2" ht="15" hidden="0" customHeight="1">
      <x:c r="A2" s="26" t="str">
        <x:v>normal_logs</x:v>
      </x:c>
      <x:c r="B2" s="26" t="str">
        <x:v>Normal Logs</x:v>
      </x:c>
      <x:c r="C2" s="26" t="str">
        <x:v>Raw Material</x:v>
      </x:c>
      <x:c r="D2" s="26" t="n">
        <x:v>1</x:v>
      </x:c>
      <x:c r="E2" s="32" t="b">
        <x:v>1</x:v>
      </x:c>
      <x:c r="F2" s="26" t="str">
        <x:v>Normal Tree</x:v>
      </x:c>
      <x:c r="G2" s="26" t="str">
        <x:v>Woodcutting 1</x:v>
      </x:c>
      <x:c r="H2" s="26" t="str"/>
      <x:c r="I2" s="26" t="str">
        <x:v>Respawn 20s</x:v>
      </x:c>
      <x:c r="J2" s="34" t="n">
        <x:v>2</x:v>
      </x:c>
      <x:c r="K2" s="26" t="str">
        <x:v>fires, shafts, handles</x:v>
      </x:c>
      <x:c r="L2" s="26" t="str">
        <x:v>Woodcutting</x:v>
      </x:c>
    </x:row>
    <x:row r="3" ht="15" hidden="0" customHeight="1">
      <x:c r="A3" s="26" t="str">
        <x:v>oak_logs</x:v>
      </x:c>
      <x:c r="B3" s="26" t="str">
        <x:v>Oak Logs</x:v>
      </x:c>
      <x:c r="C3" s="26" t="str">
        <x:v>Raw Material</x:v>
      </x:c>
      <x:c r="D3" s="26" t="n">
        <x:v>10</x:v>
      </x:c>
      <x:c r="E3" s="32" t="b">
        <x:v>1</x:v>
      </x:c>
      <x:c r="F3" s="26" t="str">
        <x:v>Oak Tree</x:v>
      </x:c>
      <x:c r="G3" s="26" t="str">
        <x:v>Woodcutting 10</x:v>
      </x:c>
      <x:c r="H3" s="26" t="str"/>
      <x:c r="I3" s="26" t="str">
        <x:v>Respawn 35s</x:v>
      </x:c>
      <x:c r="J3" s="34" t="n">
        <x:v>8</x:v>
      </x:c>
      <x:c r="K3" s="26" t="str">
        <x:v>planks, bows, handles</x:v>
      </x:c>
      <x:c r="L3" s="26" t="str">
        <x:v>Woodcutting</x:v>
      </x:c>
    </x:row>
    <x:row r="4" ht="15" hidden="0" customHeight="1">
      <x:c r="A4" s="26" t="str">
        <x:v>willow_logs</x:v>
      </x:c>
      <x:c r="B4" s="26" t="str">
        <x:v>Willow Logs</x:v>
      </x:c>
      <x:c r="C4" s="26" t="str">
        <x:v>Raw Material</x:v>
      </x:c>
      <x:c r="D4" s="26" t="n">
        <x:v>20</x:v>
      </x:c>
      <x:c r="E4" s="32" t="b">
        <x:v>1</x:v>
      </x:c>
      <x:c r="F4" s="26" t="str">
        <x:v>Willow Tree</x:v>
      </x:c>
      <x:c r="G4" s="26" t="str">
        <x:v>Woodcutting 20</x:v>
      </x:c>
      <x:c r="H4" s="26" t="str"/>
      <x:c r="I4" s="26" t="str">
        <x:v>Respawn 45s</x:v>
      </x:c>
      <x:c r="J4" s="34" t="n">
        <x:v>15</x:v>
      </x:c>
      <x:c r="K4" s="26" t="str">
        <x:v>bows, rods, fast XP</x:v>
      </x:c>
      <x:c r="L4" s="26" t="str">
        <x:v>Woodcutting</x:v>
      </x:c>
    </x:row>
    <x:row r="5" ht="15" hidden="0" customHeight="1">
      <x:c r="A5" s="26" t="str">
        <x:v>deadwood_logs</x:v>
      </x:c>
      <x:c r="B5" s="26" t="str">
        <x:v>Deadwood Logs</x:v>
      </x:c>
      <x:c r="C5" s="26" t="str">
        <x:v>Raw Material</x:v>
      </x:c>
      <x:c r="D5" s="26" t="n">
        <x:v>25</x:v>
      </x:c>
      <x:c r="E5" s="32" t="b">
        <x:v>1</x:v>
      </x:c>
      <x:c r="F5" s="26" t="str">
        <x:v>Deadwood Tree</x:v>
      </x:c>
      <x:c r="G5" s="26" t="str">
        <x:v>Woodcutting 25</x:v>
      </x:c>
      <x:c r="H5" s="26" t="str"/>
      <x:c r="I5" s="26" t="str">
        <x:v>Respawn 55s</x:v>
      </x:c>
      <x:c r="J5" s="34" t="n">
        <x:v>18</x:v>
      </x:c>
      <x:c r="K5" s="26" t="str">
        <x:v>swamp charms, shrine fuel</x:v>
      </x:c>
      <x:c r="L5" s="26" t="str">
        <x:v>Woodcutting</x:v>
      </x:c>
    </x:row>
    <x:row r="6" ht="15" hidden="0" customHeight="1">
      <x:c r="A6" s="26" t="str">
        <x:v>fungal_logs</x:v>
      </x:c>
      <x:c r="B6" s="26" t="str">
        <x:v>Fungal Logs</x:v>
      </x:c>
      <x:c r="C6" s="26" t="str">
        <x:v>Raw Material</x:v>
      </x:c>
      <x:c r="D6" s="26" t="n">
        <x:v>40</x:v>
      </x:c>
      <x:c r="E6" s="32" t="b">
        <x:v>1</x:v>
      </x:c>
      <x:c r="F6" s="26" t="str">
        <x:v>Fungal Tree</x:v>
      </x:c>
      <x:c r="G6" s="26" t="str">
        <x:v>Woodcutting 40</x:v>
      </x:c>
      <x:c r="H6" s="26" t="str"/>
      <x:c r="I6" s="26" t="str">
        <x:v>Respawn 75s</x:v>
      </x:c>
      <x:c r="J6" s="34" t="n">
        <x:v>35</x:v>
      </x:c>
      <x:c r="K6" s="26" t="str">
        <x:v>mushroom crafting, charms</x:v>
      </x:c>
      <x:c r="L6" s="26" t="str">
        <x:v>Woodcutting</x:v>
      </x:c>
    </x:row>
    <x:row r="7" ht="15" hidden="0" customHeight="1">
      <x:c r="A7" s="26" t="str">
        <x:v>blackroot_logs</x:v>
      </x:c>
      <x:c r="B7" s="26" t="str">
        <x:v>Blackroot Logs</x:v>
      </x:c>
      <x:c r="C7" s="26" t="str">
        <x:v>Raw Material</x:v>
      </x:c>
      <x:c r="D7" s="26" t="n">
        <x:v>50</x:v>
      </x:c>
      <x:c r="E7" s="32" t="b">
        <x:v>1</x:v>
      </x:c>
      <x:c r="F7" s="26" t="str">
        <x:v>Blackroot Tree</x:v>
      </x:c>
      <x:c r="G7" s="26" t="str">
        <x:v>Woodcutting 50</x:v>
      </x:c>
      <x:c r="H7" s="26" t="str"/>
      <x:c r="I7" s="26" t="str">
        <x:v>Respawn 95s</x:v>
      </x:c>
      <x:c r="J7" s="34" t="n">
        <x:v>60</x:v>
      </x:c>
      <x:c r="K7" s="26" t="str">
        <x:v>poison bows, dark gear</x:v>
      </x:c>
      <x:c r="L7" s="26" t="str">
        <x:v>Woodcutting</x:v>
      </x:c>
    </x:row>
    <x:row r="8" ht="15" hidden="0" customHeight="1">
      <x:c r="A8" s="26" t="str">
        <x:v>ironbark_logs</x:v>
      </x:c>
      <x:c r="B8" s="26" t="str">
        <x:v>Ironbark Logs</x:v>
      </x:c>
      <x:c r="C8" s="26" t="str">
        <x:v>Raw Material</x:v>
      </x:c>
      <x:c r="D8" s="26" t="n">
        <x:v>60</x:v>
      </x:c>
      <x:c r="E8" s="32" t="b">
        <x:v>1</x:v>
      </x:c>
      <x:c r="F8" s="26" t="str">
        <x:v>Ironbark Tree</x:v>
      </x:c>
      <x:c r="G8" s="26" t="str">
        <x:v>Woodcutting 60</x:v>
      </x:c>
      <x:c r="H8" s="26" t="str"/>
      <x:c r="I8" s="26" t="str">
        <x:v>Respawn 120s</x:v>
      </x:c>
      <x:c r="J8" s="34" t="n">
        <x:v>95</x:v>
      </x:c>
      <x:c r="K8" s="26" t="str">
        <x:v>high handles, shields</x:v>
      </x:c>
      <x:c r="L8" s="26" t="str">
        <x:v>Woodcutting</x:v>
      </x:c>
    </x:row>
    <x:row r="9" ht="15" hidden="0" customHeight="1">
      <x:c r="A9" s="26" t="str">
        <x:v>copper_ore</x:v>
      </x:c>
      <x:c r="B9" s="26" t="str">
        <x:v>Copper Ore</x:v>
      </x:c>
      <x:c r="C9" s="26" t="str">
        <x:v>Raw Material</x:v>
      </x:c>
      <x:c r="D9" s="26" t="n">
        <x:v>1</x:v>
      </x:c>
      <x:c r="E9" s="32" t="b">
        <x:v>1</x:v>
      </x:c>
      <x:c r="F9" s="26" t="str">
        <x:v>Copper Rock</x:v>
      </x:c>
      <x:c r="G9" s="26" t="str">
        <x:v>Mining 1</x:v>
      </x:c>
      <x:c r="H9" s="26" t="str"/>
      <x:c r="I9" s="26" t="str">
        <x:v>Respawn 20s</x:v>
      </x:c>
      <x:c r="J9" s="34" t="n">
        <x:v>3</x:v>
      </x:c>
      <x:c r="K9" s="26" t="str">
        <x:v>bronze bars</x:v>
      </x:c>
      <x:c r="L9" s="26" t="str">
        <x:v>Mining</x:v>
      </x:c>
    </x:row>
    <x:row r="10" ht="15" hidden="0" customHeight="1">
      <x:c r="A10" s="26" t="str">
        <x:v>tin_ore</x:v>
      </x:c>
      <x:c r="B10" s="26" t="str">
        <x:v>Tin Ore</x:v>
      </x:c>
      <x:c r="C10" s="26" t="str">
        <x:v>Raw Material</x:v>
      </x:c>
      <x:c r="D10" s="26" t="n">
        <x:v>1</x:v>
      </x:c>
      <x:c r="E10" s="32" t="b">
        <x:v>1</x:v>
      </x:c>
      <x:c r="F10" s="26" t="str">
        <x:v>Tin Rock</x:v>
      </x:c>
      <x:c r="G10" s="26" t="str">
        <x:v>Mining 1</x:v>
      </x:c>
      <x:c r="H10" s="26" t="str"/>
      <x:c r="I10" s="26" t="str">
        <x:v>Respawn 20s</x:v>
      </x:c>
      <x:c r="J10" s="34" t="n">
        <x:v>3</x:v>
      </x:c>
      <x:c r="K10" s="26" t="str">
        <x:v>bronze bars</x:v>
      </x:c>
      <x:c r="L10" s="26" t="str">
        <x:v>Mining</x:v>
      </x:c>
    </x:row>
    <x:row r="11" ht="15" hidden="0" customHeight="1">
      <x:c r="A11" s="26" t="str">
        <x:v>clay</x:v>
      </x:c>
      <x:c r="B11" s="26" t="str">
        <x:v>Clay</x:v>
      </x:c>
      <x:c r="C11" s="26" t="str">
        <x:v>Raw Material</x:v>
      </x:c>
      <x:c r="D11" s="26" t="n">
        <x:v>10</x:v>
      </x:c>
      <x:c r="E11" s="32" t="b">
        <x:v>1</x:v>
      </x:c>
      <x:c r="F11" s="26" t="str">
        <x:v>Clay Deposit</x:v>
      </x:c>
      <x:c r="G11" s="26" t="str">
        <x:v>Mining 10</x:v>
      </x:c>
      <x:c r="H11" s="26" t="str"/>
      <x:c r="I11" s="26" t="str">
        <x:v>Respawn 25s</x:v>
      </x:c>
      <x:c r="J11" s="34" t="n">
        <x:v>5</x:v>
      </x:c>
      <x:c r="K11" s="26" t="str">
        <x:v>bowls, molds, quests</x:v>
      </x:c>
      <x:c r="L11" s="26" t="str">
        <x:v>Mining</x:v>
      </x:c>
    </x:row>
    <x:row r="12" ht="15" hidden="0" customHeight="1">
      <x:c r="A12" s="26" t="str">
        <x:v>iron_ore</x:v>
      </x:c>
      <x:c r="B12" s="26" t="str">
        <x:v>Iron Ore</x:v>
      </x:c>
      <x:c r="C12" s="26" t="str">
        <x:v>Raw Material</x:v>
      </x:c>
      <x:c r="D12" s="26" t="n">
        <x:v>15</x:v>
      </x:c>
      <x:c r="E12" s="32" t="b">
        <x:v>1</x:v>
      </x:c>
      <x:c r="F12" s="26" t="str">
        <x:v>Iron Rock</x:v>
      </x:c>
      <x:c r="G12" s="26" t="str">
        <x:v>Mining 15</x:v>
      </x:c>
      <x:c r="H12" s="26" t="str"/>
      <x:c r="I12" s="26" t="str">
        <x:v>Respawn 35s</x:v>
      </x:c>
      <x:c r="J12" s="34" t="n">
        <x:v>12</x:v>
      </x:c>
      <x:c r="K12" s="26" t="str">
        <x:v>iron bars</x:v>
      </x:c>
      <x:c r="L12" s="26" t="str">
        <x:v>Mining</x:v>
      </x:c>
    </x:row>
    <x:row r="13" ht="15" hidden="0" customHeight="1">
      <x:c r="A13" s="26" t="str">
        <x:v>coal</x:v>
      </x:c>
      <x:c r="B13" s="26" t="str">
        <x:v>Coal</x:v>
      </x:c>
      <x:c r="C13" s="26" t="str">
        <x:v>Raw Material</x:v>
      </x:c>
      <x:c r="D13" s="26" t="n">
        <x:v>25</x:v>
      </x:c>
      <x:c r="E13" s="32" t="b">
        <x:v>1</x:v>
      </x:c>
      <x:c r="F13" s="26" t="str">
        <x:v>Coal Rock</x:v>
      </x:c>
      <x:c r="G13" s="26" t="str">
        <x:v>Mining 25</x:v>
      </x:c>
      <x:c r="H13" s="26" t="str"/>
      <x:c r="I13" s="26" t="str">
        <x:v>Respawn 50s</x:v>
      </x:c>
      <x:c r="J13" s="34" t="n">
        <x:v>25</x:v>
      </x:c>
      <x:c r="K13" s="26" t="str">
        <x:v>steel bars</x:v>
      </x:c>
      <x:c r="L13" s="26" t="str">
        <x:v>Mining</x:v>
      </x:c>
    </x:row>
    <x:row r="14" ht="15" hidden="0" customHeight="1">
      <x:c r="A14" s="26" t="str">
        <x:v>silver_ore</x:v>
      </x:c>
      <x:c r="B14" s="26" t="str">
        <x:v>Silver Ore</x:v>
      </x:c>
      <x:c r="C14" s="26" t="str">
        <x:v>Raw Material</x:v>
      </x:c>
      <x:c r="D14" s="26" t="n">
        <x:v>30</x:v>
      </x:c>
      <x:c r="E14" s="32" t="b">
        <x:v>1</x:v>
      </x:c>
      <x:c r="F14" s="26" t="str">
        <x:v>Silver Rock</x:v>
      </x:c>
      <x:c r="G14" s="26" t="str">
        <x:v>Mining 30</x:v>
      </x:c>
      <x:c r="H14" s="26" t="str"/>
      <x:c r="I14" s="26" t="str">
        <x:v>Respawn 55s</x:v>
      </x:c>
      <x:c r="J14" s="34" t="n">
        <x:v>35</x:v>
      </x:c>
      <x:c r="K14" s="26" t="str">
        <x:v>charms, jewelry</x:v>
      </x:c>
      <x:c r="L14" s="26" t="str">
        <x:v>Mining</x:v>
      </x:c>
    </x:row>
    <x:row r="15" ht="15" hidden="0" customHeight="1">
      <x:c r="A15" s="26" t="str">
        <x:v>gold_ore</x:v>
      </x:c>
      <x:c r="B15" s="26" t="str">
        <x:v>Gold Ore</x:v>
      </x:c>
      <x:c r="C15" s="26" t="str">
        <x:v>Raw Material</x:v>
      </x:c>
      <x:c r="D15" s="26" t="n">
        <x:v>40</x:v>
      </x:c>
      <x:c r="E15" s="32" t="b">
        <x:v>1</x:v>
      </x:c>
      <x:c r="F15" s="26" t="str">
        <x:v>Gold Rock</x:v>
      </x:c>
      <x:c r="G15" s="26" t="str">
        <x:v>Mining 40</x:v>
      </x:c>
      <x:c r="H15" s="26" t="str"/>
      <x:c r="I15" s="26" t="str">
        <x:v>Respawn 75s</x:v>
      </x:c>
      <x:c r="J15" s="34" t="n">
        <x:v>75</x:v>
      </x:c>
      <x:c r="K15" s="26" t="str">
        <x:v>jewelry, shrine, GP</x:v>
      </x:c>
      <x:c r="L15" s="26" t="str">
        <x:v>Mining</x:v>
      </x:c>
    </x:row>
    <x:row r="16" ht="15" hidden="0" customHeight="1">
      <x:c r="A16" s="26" t="str">
        <x:v>black_iron_ore</x:v>
      </x:c>
      <x:c r="B16" s="26" t="str">
        <x:v>Black Iron Ore</x:v>
      </x:c>
      <x:c r="C16" s="26" t="str">
        <x:v>Raw Material</x:v>
      </x:c>
      <x:c r="D16" s="26" t="n">
        <x:v>50</x:v>
      </x:c>
      <x:c r="E16" s="32" t="b">
        <x:v>1</x:v>
      </x:c>
      <x:c r="F16" s="26" t="str">
        <x:v>Black Iron Rock</x:v>
      </x:c>
      <x:c r="G16" s="26" t="str">
        <x:v>Mining 50</x:v>
      </x:c>
      <x:c r="H16" s="26" t="str"/>
      <x:c r="I16" s="26" t="str">
        <x:v>Respawn 100s</x:v>
      </x:c>
      <x:c r="J16" s="34" t="n">
        <x:v>115</x:v>
      </x:c>
      <x:c r="K16" s="26" t="str">
        <x:v>clan gear</x:v>
      </x:c>
      <x:c r="L16" s="26" t="str">
        <x:v>Mining</x:v>
      </x:c>
    </x:row>
    <x:row r="17" ht="15" hidden="0" customHeight="1">
      <x:c r="A17" s="26" t="str">
        <x:v>uncut_gem</x:v>
      </x:c>
      <x:c r="B17" s="26" t="str">
        <x:v>Uncut Gem</x:v>
      </x:c>
      <x:c r="C17" s="26" t="str">
        <x:v>Raw Material</x:v>
      </x:c>
      <x:c r="D17" s="26" t="n">
        <x:v>60</x:v>
      </x:c>
      <x:c r="E17" s="32" t="b">
        <x:v>1</x:v>
      </x:c>
      <x:c r="F17" s="26" t="str">
        <x:v>Gem Rock</x:v>
      </x:c>
      <x:c r="G17" s="26" t="str">
        <x:v>Mining 60</x:v>
      </x:c>
      <x:c r="H17" s="26" t="str"/>
      <x:c r="I17" s="26" t="str">
        <x:v>Respawn 120s</x:v>
      </x:c>
      <x:c r="J17" s="34" t="n">
        <x:v>160</x:v>
      </x:c>
      <x:c r="K17" s="26" t="str">
        <x:v>rings, amulets</x:v>
      </x:c>
      <x:c r="L17" s="26" t="str">
        <x:v>Mining</x:v>
      </x:c>
    </x:row>
    <x:row r="18" ht="15" hidden="0" customHeight="1">
      <x:c r="A18" s="26" t="str">
        <x:v>meteor_shard</x:v>
      </x:c>
      <x:c r="B18" s="26" t="str">
        <x:v>Meteor Shard</x:v>
      </x:c>
      <x:c r="C18" s="26" t="str">
        <x:v>Raw Material</x:v>
      </x:c>
      <x:c r="D18" s="26" t="n">
        <x:v>80</x:v>
      </x:c>
      <x:c r="E18" s="32" t="b">
        <x:v>1</x:v>
      </x:c>
      <x:c r="F18" s="26" t="str">
        <x:v>Meteor Shard Node</x:v>
      </x:c>
      <x:c r="G18" s="26" t="str">
        <x:v>Mining 80</x:v>
      </x:c>
      <x:c r="H18" s="26" t="str"/>
      <x:c r="I18" s="26" t="str">
        <x:v>Respawn 240s</x:v>
      </x:c>
      <x:c r="J18" s="34" t="n">
        <x:v>500</x:v>
      </x:c>
      <x:c r="K18" s="26" t="str">
        <x:v>legendary gear</x:v>
      </x:c>
      <x:c r="L18" s="26" t="str">
        <x:v>Mining</x:v>
      </x:c>
    </x:row>
    <x:row r="19" ht="15" hidden="0" customHeight="1">
      <x:c r="A19" s="26" t="str">
        <x:v>raw_shrimp</x:v>
      </x:c>
      <x:c r="B19" s="26" t="str">
        <x:v>Raw Shrimp</x:v>
      </x:c>
      <x:c r="C19" s="26" t="str">
        <x:v>Raw Food/Ingredient</x:v>
      </x:c>
      <x:c r="D19" s="26" t="n">
        <x:v>1</x:v>
      </x:c>
      <x:c r="E19" s="32" t="b">
        <x:v>1</x:v>
      </x:c>
      <x:c r="F19" s="26" t="str">
        <x:v>Shrimp Spot</x:v>
      </x:c>
      <x:c r="G19" s="26" t="str"/>
      <x:c r="H19" s="26" t="str"/>
      <x:c r="I19" s="26" t="str"/>
      <x:c r="J19" s="34" t="n">
        <x:v>2</x:v>
      </x:c>
      <x:c r="K19" s="26" t="str">
        <x:v>Consumed in recipes</x:v>
      </x:c>
      <x:c r="L19" s="26" t="str">
        <x:v>Cooking</x:v>
      </x:c>
    </x:row>
    <x:row r="20" ht="15" hidden="0" customHeight="1">
      <x:c r="A20" s="26" t="str">
        <x:v>raw_mudfish</x:v>
      </x:c>
      <x:c r="B20" s="26" t="str">
        <x:v>Raw Mudfish</x:v>
      </x:c>
      <x:c r="C20" s="26" t="str">
        <x:v>Raw Food/Ingredient</x:v>
      </x:c>
      <x:c r="D20" s="26" t="n">
        <x:v>1</x:v>
      </x:c>
      <x:c r="E20" s="32" t="b">
        <x:v>1</x:v>
      </x:c>
      <x:c r="F20" s="26" t="str">
        <x:v>Mudfish Spot</x:v>
      </x:c>
      <x:c r="G20" s="26" t="str"/>
      <x:c r="H20" s="26" t="str"/>
      <x:c r="I20" s="26" t="str"/>
      <x:c r="J20" s="34" t="n">
        <x:v>4</x:v>
      </x:c>
      <x:c r="K20" s="26" t="str">
        <x:v>Consumed in recipes</x:v>
      </x:c>
      <x:c r="L20" s="26" t="str">
        <x:v>Cooking</x:v>
      </x:c>
    </x:row>
    <x:row r="21" ht="15" hidden="0" customHeight="1">
      <x:c r="A21" s="26" t="str">
        <x:v>raw_trout</x:v>
      </x:c>
      <x:c r="B21" s="26" t="str">
        <x:v>Raw Trout</x:v>
      </x:c>
      <x:c r="C21" s="26" t="str">
        <x:v>Raw Food/Ingredient</x:v>
      </x:c>
      <x:c r="D21" s="26" t="n">
        <x:v>1</x:v>
      </x:c>
      <x:c r="E21" s="32" t="b">
        <x:v>1</x:v>
      </x:c>
      <x:c r="F21" s="26" t="str">
        <x:v>Trout Spot</x:v>
      </x:c>
      <x:c r="G21" s="26" t="str"/>
      <x:c r="H21" s="26" t="str"/>
      <x:c r="I21" s="26" t="str"/>
      <x:c r="J21" s="34" t="n">
        <x:v>8</x:v>
      </x:c>
      <x:c r="K21" s="26" t="str">
        <x:v>Consumed in recipes</x:v>
      </x:c>
      <x:c r="L21" s="26" t="str">
        <x:v>Cooking</x:v>
      </x:c>
    </x:row>
    <x:row r="22" ht="15" hidden="0" customHeight="1">
      <x:c r="A22" s="26" t="str">
        <x:v>raw_river_eel</x:v>
      </x:c>
      <x:c r="B22" s="26" t="str">
        <x:v>Raw River Eel</x:v>
      </x:c>
      <x:c r="C22" s="26" t="str">
        <x:v>Raw Food/Ingredient</x:v>
      </x:c>
      <x:c r="D22" s="26" t="n">
        <x:v>1</x:v>
      </x:c>
      <x:c r="E22" s="32" t="b">
        <x:v>1</x:v>
      </x:c>
      <x:c r="F22" s="26" t="str">
        <x:v>River Eel Spot</x:v>
      </x:c>
      <x:c r="G22" s="26" t="str"/>
      <x:c r="H22" s="26" t="str"/>
      <x:c r="I22" s="26" t="str"/>
      <x:c r="J22" s="34" t="n">
        <x:v>12</x:v>
      </x:c>
      <x:c r="K22" s="26" t="str">
        <x:v>Consumed in recipes</x:v>
      </x:c>
      <x:c r="L22" s="26" t="str">
        <x:v>Cooking</x:v>
      </x:c>
    </x:row>
    <x:row r="23" ht="15" hidden="0" customHeight="1">
      <x:c r="A23" s="26" t="str">
        <x:v>raw_pike</x:v>
      </x:c>
      <x:c r="B23" s="26" t="str">
        <x:v>Raw Pike</x:v>
      </x:c>
      <x:c r="C23" s="26" t="str">
        <x:v>Raw Food/Ingredient</x:v>
      </x:c>
      <x:c r="D23" s="26" t="n">
        <x:v>1</x:v>
      </x:c>
      <x:c r="E23" s="32" t="b">
        <x:v>1</x:v>
      </x:c>
      <x:c r="F23" s="26" t="str">
        <x:v>Pike Spot</x:v>
      </x:c>
      <x:c r="G23" s="26" t="str"/>
      <x:c r="H23" s="26" t="str"/>
      <x:c r="I23" s="26" t="str"/>
      <x:c r="J23" s="34" t="n">
        <x:v>22</x:v>
      </x:c>
      <x:c r="K23" s="26" t="str">
        <x:v>Consumed in recipes</x:v>
      </x:c>
      <x:c r="L23" s="26" t="str">
        <x:v>Cooking</x:v>
      </x:c>
    </x:row>
    <x:row r="24" ht="15" hidden="0" customHeight="1">
      <x:c r="A24" s="26" t="str">
        <x:v>raw_bog_eel</x:v>
      </x:c>
      <x:c r="B24" s="26" t="str">
        <x:v>Raw Bog Eel</x:v>
      </x:c>
      <x:c r="C24" s="26" t="str">
        <x:v>Raw Food/Ingredient</x:v>
      </x:c>
      <x:c r="D24" s="26" t="n">
        <x:v>1</x:v>
      </x:c>
      <x:c r="E24" s="32" t="b">
        <x:v>1</x:v>
      </x:c>
      <x:c r="F24" s="26" t="str">
        <x:v>Bog Eel Spot</x:v>
      </x:c>
      <x:c r="G24" s="26" t="str"/>
      <x:c r="H24" s="26" t="str"/>
      <x:c r="I24" s="26" t="str"/>
      <x:c r="J24" s="34" t="n">
        <x:v>45</x:v>
      </x:c>
      <x:c r="K24" s="26" t="str">
        <x:v>Consumed in recipes</x:v>
      </x:c>
      <x:c r="L24" s="26" t="str">
        <x:v>Cooking/Swamp Prep</x:v>
      </x:c>
    </x:row>
    <x:row r="25" ht="15" hidden="0" customHeight="1">
      <x:c r="A25" s="26" t="str">
        <x:v>raw_cavefish</x:v>
      </x:c>
      <x:c r="B25" s="26" t="str">
        <x:v>Raw Cavefish</x:v>
      </x:c>
      <x:c r="C25" s="26" t="str">
        <x:v>Raw Food/Ingredient</x:v>
      </x:c>
      <x:c r="D25" s="26" t="n">
        <x:v>1</x:v>
      </x:c>
      <x:c r="E25" s="32" t="b">
        <x:v>1</x:v>
      </x:c>
      <x:c r="F25" s="26" t="str">
        <x:v>Cavefish Spot</x:v>
      </x:c>
      <x:c r="G25" s="26" t="str"/>
      <x:c r="H25" s="26" t="str"/>
      <x:c r="I25" s="26" t="str"/>
      <x:c r="J25" s="34" t="n">
        <x:v>80</x:v>
      </x:c>
      <x:c r="K25" s="26" t="str">
        <x:v>Consumed in recipes</x:v>
      </x:c>
      <x:c r="L25" s="26" t="str">
        <x:v>Cooking/Mine Prep</x:v>
      </x:c>
    </x:row>
    <x:row r="26" ht="15" hidden="0" customHeight="1">
      <x:c r="A26" s="26" t="str">
        <x:v>raw_grubshark</x:v>
      </x:c>
      <x:c r="B26" s="26" t="str">
        <x:v>Raw Grubshark</x:v>
      </x:c>
      <x:c r="C26" s="26" t="str">
        <x:v>Raw Food/Ingredient</x:v>
      </x:c>
      <x:c r="D26" s="26" t="n">
        <x:v>1</x:v>
      </x:c>
      <x:c r="E26" s="32" t="b">
        <x:v>1</x:v>
      </x:c>
      <x:c r="F26" s="26" t="str">
        <x:v>Grubshark Spot</x:v>
      </x:c>
      <x:c r="G26" s="26" t="str"/>
      <x:c r="H26" s="26" t="str"/>
      <x:c r="I26" s="26" t="str"/>
      <x:c r="J26" s="34" t="n">
        <x:v>180</x:v>
      </x:c>
      <x:c r="K26" s="26" t="str">
        <x:v>Consumed in recipes</x:v>
      </x:c>
      <x:c r="L26" s="26" t="str">
        <x:v>Cooking/Boss Prep</x:v>
      </x:c>
    </x:row>
    <x:row r="27" ht="15" hidden="0" customHeight="1">
      <x:c r="A27" s="26" t="str">
        <x:v>potato</x:v>
      </x:c>
      <x:c r="B27" s="26" t="str">
        <x:v>Potato</x:v>
      </x:c>
      <x:c r="C27" s="26" t="str">
        <x:v>Raw Food/Ingredient</x:v>
      </x:c>
      <x:c r="D27" s="26" t="n">
        <x:v>1</x:v>
      </x:c>
      <x:c r="E27" s="32" t="b">
        <x:v>1</x:v>
      </x:c>
      <x:c r="F27" s="26" t="str">
        <x:v>Farming</x:v>
      </x:c>
      <x:c r="G27" s="26" t="str"/>
      <x:c r="H27" s="26" t="str"/>
      <x:c r="I27" s="26" t="str"/>
      <x:c r="J27" s="34" t="n">
        <x:v>3</x:v>
      </x:c>
      <x:c r="K27" s="26" t="str">
        <x:v>Consumed in recipes</x:v>
      </x:c>
      <x:c r="L27" s="26" t="str">
        <x:v>Cooking</x:v>
      </x:c>
    </x:row>
    <x:row r="28" ht="15" hidden="0" customHeight="1">
      <x:c r="A28" s="26" t="str">
        <x:v>cabbage</x:v>
      </x:c>
      <x:c r="B28" s="26" t="str">
        <x:v>Cabbage</x:v>
      </x:c>
      <x:c r="C28" s="26" t="str">
        <x:v>Raw Food/Ingredient</x:v>
      </x:c>
      <x:c r="D28" s="26" t="n">
        <x:v>1</x:v>
      </x:c>
      <x:c r="E28" s="32" t="b">
        <x:v>1</x:v>
      </x:c>
      <x:c r="F28" s="26" t="str">
        <x:v>Farming</x:v>
      </x:c>
      <x:c r="G28" s="26" t="str"/>
      <x:c r="H28" s="26" t="str"/>
      <x:c r="I28" s="26" t="str"/>
      <x:c r="J28" s="34" t="n">
        <x:v>4</x:v>
      </x:c>
      <x:c r="K28" s="26" t="str">
        <x:v>Consumed in recipes</x:v>
      </x:c>
      <x:c r="L28" s="26" t="str">
        <x:v>Cooking</x:v>
      </x:c>
    </x:row>
    <x:row r="29" ht="15" hidden="0" customHeight="1">
      <x:c r="A29" s="26" t="str">
        <x:v>onion</x:v>
      </x:c>
      <x:c r="B29" s="26" t="str">
        <x:v>Onion</x:v>
      </x:c>
      <x:c r="C29" s="26" t="str">
        <x:v>Raw Food/Ingredient</x:v>
      </x:c>
      <x:c r="D29" s="26" t="n">
        <x:v>1</x:v>
      </x:c>
      <x:c r="E29" s="32" t="b">
        <x:v>1</x:v>
      </x:c>
      <x:c r="F29" s="26" t="str">
        <x:v>Farming</x:v>
      </x:c>
      <x:c r="G29" s="26" t="str"/>
      <x:c r="H29" s="26" t="str"/>
      <x:c r="I29" s="26" t="str"/>
      <x:c r="J29" s="34" t="n">
        <x:v>8</x:v>
      </x:c>
      <x:c r="K29" s="26" t="str">
        <x:v>Consumed in recipes</x:v>
      </x:c>
      <x:c r="L29" s="26" t="str">
        <x:v>Cooking</x:v>
      </x:c>
    </x:row>
    <x:row r="30" ht="15" hidden="0" customHeight="1">
      <x:c r="A30" s="26" t="str">
        <x:v>basic_herb</x:v>
      </x:c>
      <x:c r="B30" s="26" t="str">
        <x:v>Basic Herb</x:v>
      </x:c>
      <x:c r="C30" s="26" t="str">
        <x:v>Raw Food/Ingredient</x:v>
      </x:c>
      <x:c r="D30" s="26" t="n">
        <x:v>1</x:v>
      </x:c>
      <x:c r="E30" s="32" t="b">
        <x:v>1</x:v>
      </x:c>
      <x:c r="F30" s="26" t="str">
        <x:v>Farming</x:v>
      </x:c>
      <x:c r="G30" s="26" t="str"/>
      <x:c r="H30" s="26" t="str"/>
      <x:c r="I30" s="26" t="str"/>
      <x:c r="J30" s="34" t="n">
        <x:v>15</x:v>
      </x:c>
      <x:c r="K30" s="26" t="str">
        <x:v>Consumed in recipes</x:v>
      </x:c>
      <x:c r="L30" s="26" t="str">
        <x:v>Cooking/Crafting</x:v>
      </x:c>
    </x:row>
    <x:row r="31" ht="15" hidden="0" customHeight="1">
      <x:c r="A31" s="26" t="str">
        <x:v>swamp_herb</x:v>
      </x:c>
      <x:c r="B31" s="26" t="str">
        <x:v>Swamp Herb</x:v>
      </x:c>
      <x:c r="C31" s="26" t="str">
        <x:v>Raw Food/Ingredient</x:v>
      </x:c>
      <x:c r="D31" s="26" t="n">
        <x:v>1</x:v>
      </x:c>
      <x:c r="E31" s="32" t="b">
        <x:v>1</x:v>
      </x:c>
      <x:c r="F31" s="26" t="str">
        <x:v>Bog of Grub</x:v>
      </x:c>
      <x:c r="G31" s="26" t="str"/>
      <x:c r="H31" s="26" t="str"/>
      <x:c r="I31" s="26" t="str"/>
      <x:c r="J31" s="34" t="n">
        <x:v>45</x:v>
      </x:c>
      <x:c r="K31" s="26" t="str">
        <x:v>Consumed in recipes</x:v>
      </x:c>
      <x:c r="L31" s="26" t="str">
        <x:v>Cooking/Crafting</x:v>
      </x:c>
    </x:row>
    <x:row r="32" ht="15" hidden="0" customHeight="1">
      <x:c r="A32" s="26" t="str">
        <x:v>strange_mushroom</x:v>
      </x:c>
      <x:c r="B32" s="26" t="str">
        <x:v>Strange Mushroom</x:v>
      </x:c>
      <x:c r="C32" s="26" t="str">
        <x:v>Raw Food/Ingredient</x:v>
      </x:c>
      <x:c r="D32" s="26" t="n">
        <x:v>1</x:v>
      </x:c>
      <x:c r="E32" s="32" t="b">
        <x:v>1</x:v>
      </x:c>
      <x:c r="F32" s="26" t="str">
        <x:v>Mushroom Forest</x:v>
      </x:c>
      <x:c r="G32" s="26" t="str"/>
      <x:c r="H32" s="26" t="str"/>
      <x:c r="I32" s="26" t="str"/>
      <x:c r="J32" s="34" t="n">
        <x:v>35</x:v>
      </x:c>
      <x:c r="K32" s="26" t="str">
        <x:v>Consumed in recipes</x:v>
      </x:c>
      <x:c r="L32" s="26" t="str">
        <x:v>Cooking/Crafting</x:v>
      </x:c>
    </x:row>
    <x:row r="33" ht="15" hidden="0" customHeight="1">
      <x:c r="A33" s="26" t="str">
        <x:v>bronze_bar</x:v>
      </x:c>
      <x:c r="B33" s="26" t="str">
        <x:v>Bronze Bar</x:v>
      </x:c>
      <x:c r="C33" s="26" t="str">
        <x:v>Bar</x:v>
      </x:c>
      <x:c r="D33" s="26" t="n">
        <x:v>1</x:v>
      </x:c>
      <x:c r="E33" s="32" t="b">
        <x:v>1</x:v>
      </x:c>
      <x:c r="F33" s="26" t="str">
        <x:v>Furnace</x:v>
      </x:c>
      <x:c r="G33" s="26" t="str">
        <x:v>Smithing 1</x:v>
      </x:c>
      <x:c r="H33" s="26" t="str"/>
      <x:c r="I33" s="26" t="str"/>
      <x:c r="J33" s="34" t="n">
        <x:v>12</x:v>
      </x:c>
      <x:c r="K33" s="26" t="str">
        <x:v>Smithing/Crafting recipes</x:v>
      </x:c>
      <x:c r="L33" s="26" t="str">
        <x:v>Tools/Weapons</x:v>
      </x:c>
    </x:row>
    <x:row r="34" ht="15" hidden="0" customHeight="1">
      <x:c r="A34" s="26" t="str">
        <x:v>iron_bar</x:v>
      </x:c>
      <x:c r="B34" s="26" t="str">
        <x:v>Iron Bar</x:v>
      </x:c>
      <x:c r="C34" s="26" t="str">
        <x:v>Bar</x:v>
      </x:c>
      <x:c r="D34" s="26" t="n">
        <x:v>1</x:v>
      </x:c>
      <x:c r="E34" s="32" t="b">
        <x:v>1</x:v>
      </x:c>
      <x:c r="F34" s="26" t="str">
        <x:v>Furnace</x:v>
      </x:c>
      <x:c r="G34" s="26" t="str">
        <x:v>Smithing 15</x:v>
      </x:c>
      <x:c r="H34" s="26" t="str"/>
      <x:c r="I34" s="26" t="str"/>
      <x:c r="J34" s="34" t="n">
        <x:v>38</x:v>
      </x:c>
      <x:c r="K34" s="26" t="str">
        <x:v>Smithing/Crafting recipes</x:v>
      </x:c>
      <x:c r="L34" s="26" t="str">
        <x:v>Tools/Weapons</x:v>
      </x:c>
    </x:row>
    <x:row r="35" ht="15" hidden="0" customHeight="1">
      <x:c r="A35" s="26" t="str">
        <x:v>steel_bar</x:v>
      </x:c>
      <x:c r="B35" s="26" t="str">
        <x:v>Steel Bar</x:v>
      </x:c>
      <x:c r="C35" s="26" t="str">
        <x:v>Bar</x:v>
      </x:c>
      <x:c r="D35" s="26" t="n">
        <x:v>1</x:v>
      </x:c>
      <x:c r="E35" s="32" t="b">
        <x:v>1</x:v>
      </x:c>
      <x:c r="F35" s="26" t="str">
        <x:v>Furnace</x:v>
      </x:c>
      <x:c r="G35" s="26" t="str">
        <x:v>Smithing 30</x:v>
      </x:c>
      <x:c r="H35" s="26" t="str"/>
      <x:c r="I35" s="26" t="str"/>
      <x:c r="J35" s="34" t="n">
        <x:v>95</x:v>
      </x:c>
      <x:c r="K35" s="26" t="str">
        <x:v>Smithing/Crafting recipes</x:v>
      </x:c>
      <x:c r="L35" s="26" t="str">
        <x:v>Tools/Weapons</x:v>
      </x:c>
    </x:row>
    <x:row r="36" ht="15" hidden="0" customHeight="1">
      <x:c r="A36" s="26" t="str">
        <x:v>black_iron_bar</x:v>
      </x:c>
      <x:c r="B36" s="26" t="str">
        <x:v>Black Iron Bar</x:v>
      </x:c>
      <x:c r="C36" s="26" t="str">
        <x:v>Bar</x:v>
      </x:c>
      <x:c r="D36" s="26" t="n">
        <x:v>1</x:v>
      </x:c>
      <x:c r="E36" s="32" t="b">
        <x:v>1</x:v>
      </x:c>
      <x:c r="F36" s="26" t="str">
        <x:v>Furnace</x:v>
      </x:c>
      <x:c r="G36" s="26" t="str">
        <x:v>Smithing 50</x:v>
      </x:c>
      <x:c r="H36" s="26" t="str"/>
      <x:c r="I36" s="26" t="str"/>
      <x:c r="J36" s="34" t="n">
        <x:v>225</x:v>
      </x:c>
      <x:c r="K36" s="26" t="str">
        <x:v>Smithing/Crafting recipes</x:v>
      </x:c>
      <x:c r="L36" s="26" t="str">
        <x:v>Clan Gear</x:v>
      </x:c>
    </x:row>
    <x:row r="37" ht="15" hidden="0" customHeight="1">
      <x:c r="A37" s="26" t="str">
        <x:v>gold_bar</x:v>
      </x:c>
      <x:c r="B37" s="26" t="str">
        <x:v>Gold Bar</x:v>
      </x:c>
      <x:c r="C37" s="26" t="str">
        <x:v>Bar</x:v>
      </x:c>
      <x:c r="D37" s="26" t="n">
        <x:v>1</x:v>
      </x:c>
      <x:c r="E37" s="32" t="b">
        <x:v>1</x:v>
      </x:c>
      <x:c r="F37" s="26" t="str">
        <x:v>Furnace</x:v>
      </x:c>
      <x:c r="G37" s="26" t="str">
        <x:v>Smithing 40</x:v>
      </x:c>
      <x:c r="H37" s="26" t="str"/>
      <x:c r="I37" s="26" t="str"/>
      <x:c r="J37" s="34" t="n">
        <x:v>170</x:v>
      </x:c>
      <x:c r="K37" s="26" t="str">
        <x:v>Smithing/Crafting recipes</x:v>
      </x:c>
      <x:c r="L37" s="26" t="str">
        <x:v>Jewelry/Shrine</x:v>
      </x:c>
    </x:row>
    <x:row r="38" ht="15" hidden="0" customHeight="1">
      <x:c r="A38" s="26" t="str">
        <x:v>silver_bar</x:v>
      </x:c>
      <x:c r="B38" s="26" t="str">
        <x:v>Silver Bar</x:v>
      </x:c>
      <x:c r="C38" s="26" t="str">
        <x:v>Bar</x:v>
      </x:c>
      <x:c r="D38" s="26" t="n">
        <x:v>1</x:v>
      </x:c>
      <x:c r="E38" s="32" t="b">
        <x:v>1</x:v>
      </x:c>
      <x:c r="F38" s="26" t="str">
        <x:v>Furnace</x:v>
      </x:c>
      <x:c r="G38" s="26" t="str">
        <x:v>Smithing 30</x:v>
      </x:c>
      <x:c r="H38" s="26" t="str"/>
      <x:c r="I38" s="26" t="str"/>
      <x:c r="J38" s="34" t="n">
        <x:v>80</x:v>
      </x:c>
      <x:c r="K38" s="26" t="str">
        <x:v>Smithing/Crafting recipes</x:v>
      </x:c>
      <x:c r="L38" s="26" t="str">
        <x:v>Charms/Jewelry</x:v>
      </x:c>
    </x:row>
    <x:row r="39" ht="15" hidden="0" customHeight="1">
      <x:c r="A39" s="26" t="str">
        <x:v>crude_hatchet</x:v>
      </x:c>
      <x:c r="B39" s="26" t="str">
        <x:v>Crude Hatchet</x:v>
      </x:c>
      <x:c r="C39" s="26" t="str">
        <x:v>Tool</x:v>
      </x:c>
      <x:c r="D39" s="26" t="n">
        <x:v>1</x:v>
      </x:c>
      <x:c r="E39" s="32" t="b">
        <x:v>0</x:v>
      </x:c>
      <x:c r="F39" s="26" t="str">
        <x:v>Smith/Craft/Shop</x:v>
      </x:c>
      <x:c r="G39" s="26" t="str">
        <x:v>Woodcutting 1</x:v>
      </x:c>
      <x:c r="H39" s="26" t="str">
        <x:v>Tool</x:v>
      </x:c>
      <x:c r="I39" s="26" t="str">
        <x:v>WC speed 1</x:v>
      </x:c>
      <x:c r="J39" s="34" t="n">
        <x:v>8</x:v>
      </x:c>
      <x:c r="K39" s="26" t="str">
        <x:v>Upgradeable, quest requirements</x:v>
      </x:c>
      <x:c r="L39" s="26" t="str">
        <x:v>Gathering</x:v>
      </x:c>
    </x:row>
    <x:row r="40" ht="15" hidden="0" customHeight="1">
      <x:c r="A40" s="26" t="str">
        <x:v>bronze_hatchet</x:v>
      </x:c>
      <x:c r="B40" s="26" t="str">
        <x:v>Bronze Hatchet</x:v>
      </x:c>
      <x:c r="C40" s="26" t="str">
        <x:v>Tool</x:v>
      </x:c>
      <x:c r="D40" s="26" t="n">
        <x:v>1</x:v>
      </x:c>
      <x:c r="E40" s="32" t="b">
        <x:v>0</x:v>
      </x:c>
      <x:c r="F40" s="26" t="str">
        <x:v>Smith/Craft/Shop</x:v>
      </x:c>
      <x:c r="G40" s="26" t="str">
        <x:v>Woodcutting 5</x:v>
      </x:c>
      <x:c r="H40" s="26" t="str">
        <x:v>Tool</x:v>
      </x:c>
      <x:c r="I40" s="26" t="str">
        <x:v>WC speed 2</x:v>
      </x:c>
      <x:c r="J40" s="34" t="n">
        <x:v>35</x:v>
      </x:c>
      <x:c r="K40" s="26" t="str">
        <x:v>Upgradeable, quest requirements</x:v>
      </x:c>
      <x:c r="L40" s="26" t="str">
        <x:v>Gathering</x:v>
      </x:c>
    </x:row>
    <x:row r="41" ht="15" hidden="0" customHeight="1">
      <x:c r="A41" s="26" t="str">
        <x:v>iron_hatchet</x:v>
      </x:c>
      <x:c r="B41" s="26" t="str">
        <x:v>Iron Hatchet</x:v>
      </x:c>
      <x:c r="C41" s="26" t="str">
        <x:v>Tool</x:v>
      </x:c>
      <x:c r="D41" s="26" t="n">
        <x:v>2</x:v>
      </x:c>
      <x:c r="E41" s="32" t="b">
        <x:v>0</x:v>
      </x:c>
      <x:c r="F41" s="26" t="str">
        <x:v>Smith/Craft/Shop</x:v>
      </x:c>
      <x:c r="G41" s="26" t="str">
        <x:v>Woodcutting 15</x:v>
      </x:c>
      <x:c r="H41" s="26" t="str">
        <x:v>Tool</x:v>
      </x:c>
      <x:c r="I41" s="26" t="str">
        <x:v>WC speed 3</x:v>
      </x:c>
      <x:c r="J41" s="34" t="n">
        <x:v>95</x:v>
      </x:c>
      <x:c r="K41" s="26" t="str">
        <x:v>Upgradeable, quest requirements</x:v>
      </x:c>
      <x:c r="L41" s="26" t="str">
        <x:v>Gathering</x:v>
      </x:c>
    </x:row>
    <x:row r="42" ht="15" hidden="0" customHeight="1">
      <x:c r="A42" s="26" t="str">
        <x:v>steel_hatchet</x:v>
      </x:c>
      <x:c r="B42" s="26" t="str">
        <x:v>Steel Hatchet</x:v>
      </x:c>
      <x:c r="C42" s="26" t="str">
        <x:v>Tool</x:v>
      </x:c>
      <x:c r="D42" s="26" t="n">
        <x:v>3</x:v>
      </x:c>
      <x:c r="E42" s="32" t="b">
        <x:v>0</x:v>
      </x:c>
      <x:c r="F42" s="26" t="str">
        <x:v>Smith/Craft/Shop</x:v>
      </x:c>
      <x:c r="G42" s="26" t="str">
        <x:v>Woodcutting 35</x:v>
      </x:c>
      <x:c r="H42" s="26" t="str">
        <x:v>Tool</x:v>
      </x:c>
      <x:c r="I42" s="26" t="str">
        <x:v>WC speed 4</x:v>
      </x:c>
      <x:c r="J42" s="34" t="n">
        <x:v>240</x:v>
      </x:c>
      <x:c r="K42" s="26" t="str">
        <x:v>Upgradeable, quest requirements</x:v>
      </x:c>
      <x:c r="L42" s="26" t="str">
        <x:v>Gathering</x:v>
      </x:c>
    </x:row>
    <x:row r="43" ht="15" hidden="0" customHeight="1">
      <x:c r="A43" s="26" t="str">
        <x:v>black_iron_hatchet</x:v>
      </x:c>
      <x:c r="B43" s="26" t="str">
        <x:v>Black Iron Hatchet</x:v>
      </x:c>
      <x:c r="C43" s="26" t="str">
        <x:v>Tool</x:v>
      </x:c>
      <x:c r="D43" s="26" t="n">
        <x:v>4</x:v>
      </x:c>
      <x:c r="E43" s="32" t="b">
        <x:v>0</x:v>
      </x:c>
      <x:c r="F43" s="26" t="str">
        <x:v>Smith/Craft/Shop</x:v>
      </x:c>
      <x:c r="G43" s="26" t="str">
        <x:v>Woodcutting 50</x:v>
      </x:c>
      <x:c r="H43" s="26" t="str">
        <x:v>Tool</x:v>
      </x:c>
      <x:c r="I43" s="26" t="str">
        <x:v>WC speed 5</x:v>
      </x:c>
      <x:c r="J43" s="34" t="n">
        <x:v>550</x:v>
      </x:c>
      <x:c r="K43" s="26" t="str">
        <x:v>Upgradeable, quest requirements</x:v>
      </x:c>
      <x:c r="L43" s="26" t="str">
        <x:v>Gathering</x:v>
      </x:c>
    </x:row>
    <x:row r="44" ht="15" hidden="0" customHeight="1">
      <x:c r="A44" s="26" t="str">
        <x:v>crude_pickaxe</x:v>
      </x:c>
      <x:c r="B44" s="26" t="str">
        <x:v>Crude Pickaxe</x:v>
      </x:c>
      <x:c r="C44" s="26" t="str">
        <x:v>Tool</x:v>
      </x:c>
      <x:c r="D44" s="26" t="n">
        <x:v>1</x:v>
      </x:c>
      <x:c r="E44" s="32" t="b">
        <x:v>0</x:v>
      </x:c>
      <x:c r="F44" s="26" t="str">
        <x:v>Smith/Craft/Shop</x:v>
      </x:c>
      <x:c r="G44" s="26" t="str">
        <x:v>Mining 1</x:v>
      </x:c>
      <x:c r="H44" s="26" t="str">
        <x:v>Tool</x:v>
      </x:c>
      <x:c r="I44" s="26" t="str">
        <x:v>Mining speed 1</x:v>
      </x:c>
      <x:c r="J44" s="34" t="n">
        <x:v>8</x:v>
      </x:c>
      <x:c r="K44" s="26" t="str">
        <x:v>Upgradeable, quest requirements</x:v>
      </x:c>
      <x:c r="L44" s="26" t="str">
        <x:v>Gathering</x:v>
      </x:c>
    </x:row>
    <x:row r="45" ht="15" hidden="0" customHeight="1">
      <x:c r="A45" s="26" t="str">
        <x:v>bronze_pickaxe</x:v>
      </x:c>
      <x:c r="B45" s="26" t="str">
        <x:v>Bronze Pickaxe</x:v>
      </x:c>
      <x:c r="C45" s="26" t="str">
        <x:v>Tool</x:v>
      </x:c>
      <x:c r="D45" s="26" t="n">
        <x:v>1</x:v>
      </x:c>
      <x:c r="E45" s="32" t="b">
        <x:v>0</x:v>
      </x:c>
      <x:c r="F45" s="26" t="str">
        <x:v>Smith/Craft/Shop</x:v>
      </x:c>
      <x:c r="G45" s="26" t="str">
        <x:v>Mining 5</x:v>
      </x:c>
      <x:c r="H45" s="26" t="str">
        <x:v>Tool</x:v>
      </x:c>
      <x:c r="I45" s="26" t="str">
        <x:v>Mining speed 2</x:v>
      </x:c>
      <x:c r="J45" s="34" t="n">
        <x:v>35</x:v>
      </x:c>
      <x:c r="K45" s="26" t="str">
        <x:v>Upgradeable, quest requirements</x:v>
      </x:c>
      <x:c r="L45" s="26" t="str">
        <x:v>Gathering</x:v>
      </x:c>
    </x:row>
    <x:row r="46" ht="15" hidden="0" customHeight="1">
      <x:c r="A46" s="26" t="str">
        <x:v>iron_pickaxe</x:v>
      </x:c>
      <x:c r="B46" s="26" t="str">
        <x:v>Iron Pickaxe</x:v>
      </x:c>
      <x:c r="C46" s="26" t="str">
        <x:v>Tool</x:v>
      </x:c>
      <x:c r="D46" s="26" t="n">
        <x:v>2</x:v>
      </x:c>
      <x:c r="E46" s="32" t="b">
        <x:v>0</x:v>
      </x:c>
      <x:c r="F46" s="26" t="str">
        <x:v>Smith/Craft/Shop</x:v>
      </x:c>
      <x:c r="G46" s="26" t="str">
        <x:v>Mining 15</x:v>
      </x:c>
      <x:c r="H46" s="26" t="str">
        <x:v>Tool</x:v>
      </x:c>
      <x:c r="I46" s="26" t="str">
        <x:v>Mining speed 3</x:v>
      </x:c>
      <x:c r="J46" s="34" t="n">
        <x:v>95</x:v>
      </x:c>
      <x:c r="K46" s="26" t="str">
        <x:v>Upgradeable, quest requirements</x:v>
      </x:c>
      <x:c r="L46" s="26" t="str">
        <x:v>Gathering</x:v>
      </x:c>
    </x:row>
    <x:row r="47" ht="15" hidden="0" customHeight="1">
      <x:c r="A47" s="26" t="str">
        <x:v>steel_pickaxe</x:v>
      </x:c>
      <x:c r="B47" s="26" t="str">
        <x:v>Steel Pickaxe</x:v>
      </x:c>
      <x:c r="C47" s="26" t="str">
        <x:v>Tool</x:v>
      </x:c>
      <x:c r="D47" s="26" t="n">
        <x:v>3</x:v>
      </x:c>
      <x:c r="E47" s="32" t="b">
        <x:v>0</x:v>
      </x:c>
      <x:c r="F47" s="26" t="str">
        <x:v>Smith/Craft/Shop</x:v>
      </x:c>
      <x:c r="G47" s="26" t="str">
        <x:v>Mining 35</x:v>
      </x:c>
      <x:c r="H47" s="26" t="str">
        <x:v>Tool</x:v>
      </x:c>
      <x:c r="I47" s="26" t="str">
        <x:v>Mining speed 4</x:v>
      </x:c>
      <x:c r="J47" s="34" t="n">
        <x:v>240</x:v>
      </x:c>
      <x:c r="K47" s="26" t="str">
        <x:v>Upgradeable, quest requirements</x:v>
      </x:c>
      <x:c r="L47" s="26" t="str">
        <x:v>Gathering</x:v>
      </x:c>
    </x:row>
    <x:row r="48" ht="15" hidden="0" customHeight="1">
      <x:c r="A48" s="26" t="str">
        <x:v>black_iron_pickaxe</x:v>
      </x:c>
      <x:c r="B48" s="26" t="str">
        <x:v>Black Iron Pickaxe</x:v>
      </x:c>
      <x:c r="C48" s="26" t="str">
        <x:v>Tool</x:v>
      </x:c>
      <x:c r="D48" s="26" t="n">
        <x:v>4</x:v>
      </x:c>
      <x:c r="E48" s="32" t="b">
        <x:v>0</x:v>
      </x:c>
      <x:c r="F48" s="26" t="str">
        <x:v>Smith/Craft/Shop</x:v>
      </x:c>
      <x:c r="G48" s="26" t="str">
        <x:v>Mining 50</x:v>
      </x:c>
      <x:c r="H48" s="26" t="str">
        <x:v>Tool</x:v>
      </x:c>
      <x:c r="I48" s="26" t="str">
        <x:v>Mining speed 5</x:v>
      </x:c>
      <x:c r="J48" s="34" t="n">
        <x:v>550</x:v>
      </x:c>
      <x:c r="K48" s="26" t="str">
        <x:v>Upgradeable, quest requirements</x:v>
      </x:c>
      <x:c r="L48" s="26" t="str">
        <x:v>Gathering</x:v>
      </x:c>
    </x:row>
    <x:row r="49" ht="15" hidden="0" customHeight="1">
      <x:c r="A49" s="26" t="str">
        <x:v>small_net</x:v>
      </x:c>
      <x:c r="B49" s="26" t="str">
        <x:v>Small Net</x:v>
      </x:c>
      <x:c r="C49" s="26" t="str">
        <x:v>Tool</x:v>
      </x:c>
      <x:c r="D49" s="26" t="n">
        <x:v>1</x:v>
      </x:c>
      <x:c r="E49" s="32" t="b">
        <x:v>0</x:v>
      </x:c>
      <x:c r="F49" s="26" t="str">
        <x:v>Smith/Craft/Shop</x:v>
      </x:c>
      <x:c r="G49" s="26" t="str">
        <x:v>Fishing 1</x:v>
      </x:c>
      <x:c r="H49" s="26" t="str">
        <x:v>Tool</x:v>
      </x:c>
      <x:c r="I49" s="26" t="str">
        <x:v>Shrimp/Mudfish</x:v>
      </x:c>
      <x:c r="J49" s="34" t="n">
        <x:v>10</x:v>
      </x:c>
      <x:c r="K49" s="26" t="str">
        <x:v>Upgradeable, quest requirements</x:v>
      </x:c>
      <x:c r="L49" s="26" t="str">
        <x:v>Gathering</x:v>
      </x:c>
    </x:row>
    <x:row r="50" ht="15" hidden="0" customHeight="1">
      <x:c r="A50" s="26" t="str">
        <x:v>fishing_rod</x:v>
      </x:c>
      <x:c r="B50" s="26" t="str">
        <x:v>Fishing Rod</x:v>
      </x:c>
      <x:c r="C50" s="26" t="str">
        <x:v>Tool</x:v>
      </x:c>
      <x:c r="D50" s="26" t="n">
        <x:v>1</x:v>
      </x:c>
      <x:c r="E50" s="32" t="b">
        <x:v>0</x:v>
      </x:c>
      <x:c r="F50" s="26" t="str">
        <x:v>Smith/Craft/Shop</x:v>
      </x:c>
      <x:c r="G50" s="26" t="str">
        <x:v>Fishing 10</x:v>
      </x:c>
      <x:c r="H50" s="26" t="str">
        <x:v>Tool</x:v>
      </x:c>
      <x:c r="I50" s="26" t="str">
        <x:v>Trout/Eel</x:v>
      </x:c>
      <x:c r="J50" s="34" t="n">
        <x:v>35</x:v>
      </x:c>
      <x:c r="K50" s="26" t="str">
        <x:v>Upgradeable, quest requirements</x:v>
      </x:c>
      <x:c r="L50" s="26" t="str">
        <x:v>Gathering</x:v>
      </x:c>
    </x:row>
    <x:row r="51" ht="15" hidden="0" customHeight="1">
      <x:c r="A51" s="26" t="str">
        <x:v>harpoon</x:v>
      </x:c>
      <x:c r="B51" s="26" t="str">
        <x:v>Harpoon</x:v>
      </x:c>
      <x:c r="C51" s="26" t="str">
        <x:v>Tool</x:v>
      </x:c>
      <x:c r="D51" s="26" t="n">
        <x:v>2</x:v>
      </x:c>
      <x:c r="E51" s="32" t="b">
        <x:v>0</x:v>
      </x:c>
      <x:c r="F51" s="26" t="str">
        <x:v>Smith/Craft/Shop</x:v>
      </x:c>
      <x:c r="G51" s="26" t="str">
        <x:v>Fishing 20</x:v>
      </x:c>
      <x:c r="H51" s="26" t="str">
        <x:v>Tool</x:v>
      </x:c>
      <x:c r="I51" s="26" t="str">
        <x:v>Pike</x:v>
      </x:c>
      <x:c r="J51" s="34" t="n">
        <x:v>90</x:v>
      </x:c>
      <x:c r="K51" s="26" t="str">
        <x:v>Upgradeable, quest requirements</x:v>
      </x:c>
      <x:c r="L51" s="26" t="str">
        <x:v>Gathering</x:v>
      </x:c>
    </x:row>
    <x:row r="52" ht="15" hidden="0" customHeight="1">
      <x:c r="A52" s="26" t="str">
        <x:v>fishing_cage</x:v>
      </x:c>
      <x:c r="B52" s="26" t="str">
        <x:v>Fishing Cage</x:v>
      </x:c>
      <x:c r="C52" s="26" t="str">
        <x:v>Tool</x:v>
      </x:c>
      <x:c r="D52" s="26" t="n">
        <x:v>3</x:v>
      </x:c>
      <x:c r="E52" s="32" t="b">
        <x:v>0</x:v>
      </x:c>
      <x:c r="F52" s="26" t="str">
        <x:v>Smith/Craft/Shop</x:v>
      </x:c>
      <x:c r="G52" s="26" t="str">
        <x:v>Fishing 30</x:v>
      </x:c>
      <x:c r="H52" s="26" t="str">
        <x:v>Tool</x:v>
      </x:c>
      <x:c r="I52" s="26" t="str">
        <x:v>Bog Eel</x:v>
      </x:c>
      <x:c r="J52" s="34" t="n">
        <x:v>180</x:v>
      </x:c>
      <x:c r="K52" s="26" t="str">
        <x:v>Upgradeable, quest requirements</x:v>
      </x:c>
      <x:c r="L52" s="26" t="str">
        <x:v>Gathering</x:v>
      </x:c>
    </x:row>
    <x:row r="53" ht="15" hidden="0" customHeight="1">
      <x:c r="A53" s="26" t="str">
        <x:v>heavy_harpoon</x:v>
      </x:c>
      <x:c r="B53" s="26" t="str">
        <x:v>Heavy Harpoon</x:v>
      </x:c>
      <x:c r="C53" s="26" t="str">
        <x:v>Tool</x:v>
      </x:c>
      <x:c r="D53" s="26" t="n">
        <x:v>4</x:v>
      </x:c>
      <x:c r="E53" s="32" t="b">
        <x:v>0</x:v>
      </x:c>
      <x:c r="F53" s="26" t="str">
        <x:v>Smith/Craft/Shop</x:v>
      </x:c>
      <x:c r="G53" s="26" t="str">
        <x:v>Fishing 70</x:v>
      </x:c>
      <x:c r="H53" s="26" t="str">
        <x:v>Tool</x:v>
      </x:c>
      <x:c r="I53" s="26" t="str">
        <x:v>Grubshark</x:v>
      </x:c>
      <x:c r="J53" s="34" t="n">
        <x:v>650</x:v>
      </x:c>
      <x:c r="K53" s="26" t="str">
        <x:v>Upgradeable, quest requirements</x:v>
      </x:c>
      <x:c r="L53" s="26" t="str">
        <x:v>Gathering</x:v>
      </x:c>
    </x:row>
    <x:row r="54" ht="15" hidden="0" customHeight="1">
      <x:c r="A54" s="26" t="str">
        <x:v>crude_dagger</x:v>
      </x:c>
      <x:c r="B54" s="26" t="str">
        <x:v>Crude Dagger</x:v>
      </x:c>
      <x:c r="C54" s="26" t="str">
        <x:v>Equipment</x:v>
      </x:c>
      <x:c r="D54" s="26" t="n">
        <x:v>1</x:v>
      </x:c>
      <x:c r="E54" s="32" t="b">
        <x:v>0</x:v>
      </x:c>
      <x:c r="F54" s="26" t="str">
        <x:v>Smith/Craft/Drop</x:v>
      </x:c>
      <x:c r="G54" s="26" t="str">
        <x:v>Attack 1</x:v>
      </x:c>
      <x:c r="H54" s="26" t="str">
        <x:v>Weapon</x:v>
      </x:c>
      <x:c r="I54" s="26" t="str">
        <x:v>Stab +2</x:v>
      </x:c>
      <x:c r="J54" s="34" t="n">
        <x:v>15</x:v>
      </x:c>
      <x:c r="K54" s="26" t="str">
        <x:v>Gear progression, combat sink</x:v>
      </x:c>
      <x:c r="L54" s="26" t="str">
        <x:v>Combat</x:v>
      </x:c>
    </x:row>
    <x:row r="55" ht="15" hidden="0" customHeight="1">
      <x:c r="A55" s="26" t="str">
        <x:v>bronze_dagger</x:v>
      </x:c>
      <x:c r="B55" s="26" t="str">
        <x:v>Bronze Dagger</x:v>
      </x:c>
      <x:c r="C55" s="26" t="str">
        <x:v>Equipment</x:v>
      </x:c>
      <x:c r="D55" s="26" t="n">
        <x:v>1</x:v>
      </x:c>
      <x:c r="E55" s="32" t="b">
        <x:v>0</x:v>
      </x:c>
      <x:c r="F55" s="26" t="str">
        <x:v>Smith/Craft/Drop</x:v>
      </x:c>
      <x:c r="G55" s="26" t="str">
        <x:v>Attack 5</x:v>
      </x:c>
      <x:c r="H55" s="26" t="str">
        <x:v>Weapon</x:v>
      </x:c>
      <x:c r="I55" s="26" t="str">
        <x:v>Stab +5</x:v>
      </x:c>
      <x:c r="J55" s="34" t="n">
        <x:v>30</x:v>
      </x:c>
      <x:c r="K55" s="26" t="str">
        <x:v>Gear progression, combat sink</x:v>
      </x:c>
      <x:c r="L55" s="26" t="str">
        <x:v>Combat</x:v>
      </x:c>
    </x:row>
    <x:row r="56" ht="15" hidden="0" customHeight="1">
      <x:c r="A56" s="26" t="str">
        <x:v>bronze_spear</x:v>
      </x:c>
      <x:c r="B56" s="26" t="str">
        <x:v>Bronze Spear</x:v>
      </x:c>
      <x:c r="C56" s="26" t="str">
        <x:v>Equipment</x:v>
      </x:c>
      <x:c r="D56" s="26" t="n">
        <x:v>1</x:v>
      </x:c>
      <x:c r="E56" s="32" t="b">
        <x:v>0</x:v>
      </x:c>
      <x:c r="F56" s="26" t="str">
        <x:v>Smith/Craft/Drop</x:v>
      </x:c>
      <x:c r="G56" s="26" t="str">
        <x:v>Attack 10</x:v>
      </x:c>
      <x:c r="H56" s="26" t="str">
        <x:v>Weapon</x:v>
      </x:c>
      <x:c r="I56" s="26" t="str">
        <x:v>Stab +8 reach</x:v>
      </x:c>
      <x:c r="J56" s="34" t="n">
        <x:v>55</x:v>
      </x:c>
      <x:c r="K56" s="26" t="str">
        <x:v>Gear progression, combat sink</x:v>
      </x:c>
      <x:c r="L56" s="26" t="str">
        <x:v>Combat</x:v>
      </x:c>
    </x:row>
    <x:row r="57" ht="15" hidden="0" customHeight="1">
      <x:c r="A57" s="26" t="str">
        <x:v>iron_sword</x:v>
      </x:c>
      <x:c r="B57" s="26" t="str">
        <x:v>Iron Sword</x:v>
      </x:c>
      <x:c r="C57" s="26" t="str">
        <x:v>Equipment</x:v>
      </x:c>
      <x:c r="D57" s="26" t="n">
        <x:v>2</x:v>
      </x:c>
      <x:c r="E57" s="32" t="b">
        <x:v>0</x:v>
      </x:c>
      <x:c r="F57" s="26" t="str">
        <x:v>Smith/Craft/Drop</x:v>
      </x:c>
      <x:c r="G57" s="26" t="str">
        <x:v>Attack 15</x:v>
      </x:c>
      <x:c r="H57" s="26" t="str">
        <x:v>Weapon</x:v>
      </x:c>
      <x:c r="I57" s="26" t="str">
        <x:v>Slash +12</x:v>
      </x:c>
      <x:c r="J57" s="34" t="n">
        <x:v>125</x:v>
      </x:c>
      <x:c r="K57" s="26" t="str">
        <x:v>Gear progression, combat sink</x:v>
      </x:c>
      <x:c r="L57" s="26" t="str">
        <x:v>Combat</x:v>
      </x:c>
    </x:row>
    <x:row r="58" ht="15" hidden="0" customHeight="1">
      <x:c r="A58" s="26" t="str">
        <x:v>iron_spear</x:v>
      </x:c>
      <x:c r="B58" s="26" t="str">
        <x:v>Iron Spear</x:v>
      </x:c>
      <x:c r="C58" s="26" t="str">
        <x:v>Equipment</x:v>
      </x:c>
      <x:c r="D58" s="26" t="n">
        <x:v>2</x:v>
      </x:c>
      <x:c r="E58" s="32" t="b">
        <x:v>0</x:v>
      </x:c>
      <x:c r="F58" s="26" t="str">
        <x:v>Smith/Craft/Drop</x:v>
      </x:c>
      <x:c r="G58" s="26" t="str">
        <x:v>Attack 25</x:v>
      </x:c>
      <x:c r="H58" s="26" t="str">
        <x:v>Weapon</x:v>
      </x:c>
      <x:c r="I58" s="26" t="str">
        <x:v>Stab +16 reach</x:v>
      </x:c>
      <x:c r="J58" s="34" t="n">
        <x:v>160</x:v>
      </x:c>
      <x:c r="K58" s="26" t="str">
        <x:v>Gear progression, combat sink</x:v>
      </x:c>
      <x:c r="L58" s="26" t="str">
        <x:v>Combat</x:v>
      </x:c>
    </x:row>
    <x:row r="59" ht="15" hidden="0" customHeight="1">
      <x:c r="A59" s="26" t="str">
        <x:v>steel_sword</x:v>
      </x:c>
      <x:c r="B59" s="26" t="str">
        <x:v>Steel Sword</x:v>
      </x:c>
      <x:c r="C59" s="26" t="str">
        <x:v>Equipment</x:v>
      </x:c>
      <x:c r="D59" s="26" t="n">
        <x:v>3</x:v>
      </x:c>
      <x:c r="E59" s="32" t="b">
        <x:v>0</x:v>
      </x:c>
      <x:c r="F59" s="26" t="str">
        <x:v>Smith/Craft/Drop</x:v>
      </x:c>
      <x:c r="G59" s="26" t="str">
        <x:v>Attack 35</x:v>
      </x:c>
      <x:c r="H59" s="26" t="str">
        <x:v>Weapon</x:v>
      </x:c>
      <x:c r="I59" s="26" t="str">
        <x:v>Slash +23</x:v>
      </x:c>
      <x:c r="J59" s="34" t="n">
        <x:v>320</x:v>
      </x:c>
      <x:c r="K59" s="26" t="str">
        <x:v>Gear progression, combat sink</x:v>
      </x:c>
      <x:c r="L59" s="26" t="str">
        <x:v>Combat</x:v>
      </x:c>
    </x:row>
    <x:row r="60" ht="15" hidden="0" customHeight="1">
      <x:c r="A60" s="26" t="str">
        <x:v>steel_spear</x:v>
      </x:c>
      <x:c r="B60" s="26" t="str">
        <x:v>Steel Spear</x:v>
      </x:c>
      <x:c r="C60" s="26" t="str">
        <x:v>Equipment</x:v>
      </x:c>
      <x:c r="D60" s="26" t="n">
        <x:v>3</x:v>
      </x:c>
      <x:c r="E60" s="32" t="b">
        <x:v>0</x:v>
      </x:c>
      <x:c r="F60" s="26" t="str">
        <x:v>Smith/Craft/Drop</x:v>
      </x:c>
      <x:c r="G60" s="26" t="str">
        <x:v>Attack 45</x:v>
      </x:c>
      <x:c r="H60" s="26" t="str">
        <x:v>Weapon</x:v>
      </x:c>
      <x:c r="I60" s="26" t="str">
        <x:v>Stab +28 reach</x:v>
      </x:c>
      <x:c r="J60" s="34" t="n">
        <x:v>410</x:v>
      </x:c>
      <x:c r="K60" s="26" t="str">
        <x:v>Gear progression, combat sink</x:v>
      </x:c>
      <x:c r="L60" s="26" t="str">
        <x:v>Combat</x:v>
      </x:c>
    </x:row>
    <x:row r="61" ht="15" hidden="0" customHeight="1">
      <x:c r="A61" s="26" t="str">
        <x:v>black_iron_blade</x:v>
      </x:c>
      <x:c r="B61" s="26" t="str">
        <x:v>Black Iron Blade</x:v>
      </x:c>
      <x:c r="C61" s="26" t="str">
        <x:v>Equipment</x:v>
      </x:c>
      <x:c r="D61" s="26" t="n">
        <x:v>4</x:v>
      </x:c>
      <x:c r="E61" s="32" t="b">
        <x:v>0</x:v>
      </x:c>
      <x:c r="F61" s="26" t="str">
        <x:v>Smith/Craft/Drop</x:v>
      </x:c>
      <x:c r="G61" s="26" t="str">
        <x:v>Attack 55</x:v>
      </x:c>
      <x:c r="H61" s="26" t="str">
        <x:v>Weapon</x:v>
      </x:c>
      <x:c r="I61" s="26" t="str">
        <x:v>Slash +38</x:v>
      </x:c>
      <x:c r="J61" s="34" t="n">
        <x:v>850</x:v>
      </x:c>
      <x:c r="K61" s="26" t="str">
        <x:v>Gear progression, combat sink</x:v>
      </x:c>
      <x:c r="L61" s="26" t="str">
        <x:v>Combat</x:v>
      </x:c>
    </x:row>
    <x:row r="62" ht="15" hidden="0" customHeight="1">
      <x:c r="A62" s="26" t="str">
        <x:v>red_ear_spear</x:v>
      </x:c>
      <x:c r="B62" s="26" t="str">
        <x:v>Red-Ear Spear</x:v>
      </x:c>
      <x:c r="C62" s="26" t="str">
        <x:v>Equipment</x:v>
      </x:c>
      <x:c r="D62" s="26" t="n">
        <x:v>5</x:v>
      </x:c>
      <x:c r="E62" s="32" t="b">
        <x:v>0</x:v>
      </x:c>
      <x:c r="F62" s="26" t="str">
        <x:v>Smith/Craft/Drop</x:v>
      </x:c>
      <x:c r="G62" s="26" t="str">
        <x:v>Attack 60</x:v>
      </x:c>
      <x:c r="H62" s="26" t="str">
        <x:v>Weapon</x:v>
      </x:c>
      <x:c r="I62" s="26" t="str">
        <x:v>Stab +42 reach unique</x:v>
      </x:c>
      <x:c r="J62" s="34" t="n">
        <x:v>1500</x:v>
      </x:c>
      <x:c r="K62" s="26" t="str">
        <x:v>Gear progression, combat sink</x:v>
      </x:c>
      <x:c r="L62" s="26" t="str">
        <x:v>Combat/Quest</x:v>
      </x:c>
    </x:row>
    <x:row r="63" ht="15" hidden="0" customHeight="1">
      <x:c r="A63" s="26" t="str">
        <x:v>crude_bow</x:v>
      </x:c>
      <x:c r="B63" s="26" t="str">
        <x:v>Crude Bow</x:v>
      </x:c>
      <x:c r="C63" s="26" t="str">
        <x:v>Equipment</x:v>
      </x:c>
      <x:c r="D63" s="26" t="n">
        <x:v>1</x:v>
      </x:c>
      <x:c r="E63" s="32" t="b">
        <x:v>0</x:v>
      </x:c>
      <x:c r="F63" s="26" t="str">
        <x:v>Smith/Craft/Drop</x:v>
      </x:c>
      <x:c r="G63" s="26" t="str">
        <x:v>Ranged 5</x:v>
      </x:c>
      <x:c r="H63" s="26" t="str">
        <x:v>Weapon</x:v>
      </x:c>
      <x:c r="I63" s="26" t="str">
        <x:v>Ranged +5</x:v>
      </x:c>
      <x:c r="J63" s="34" t="n">
        <x:v>30</x:v>
      </x:c>
      <x:c r="K63" s="26" t="str">
        <x:v>Gear progression, combat sink</x:v>
      </x:c>
      <x:c r="L63" s="26" t="str">
        <x:v>Ranged</x:v>
      </x:c>
    </x:row>
    <x:row r="64" ht="15" hidden="0" customHeight="1">
      <x:c r="A64" s="26" t="str">
        <x:v>oak_bow</x:v>
      </x:c>
      <x:c r="B64" s="26" t="str">
        <x:v>Oak Bow</x:v>
      </x:c>
      <x:c r="C64" s="26" t="str">
        <x:v>Equipment</x:v>
      </x:c>
      <x:c r="D64" s="26" t="n">
        <x:v>2</x:v>
      </x:c>
      <x:c r="E64" s="32" t="b">
        <x:v>0</x:v>
      </x:c>
      <x:c r="F64" s="26" t="str">
        <x:v>Smith/Craft/Drop</x:v>
      </x:c>
      <x:c r="G64" s="26" t="str">
        <x:v>Ranged 15</x:v>
      </x:c>
      <x:c r="H64" s="26" t="str">
        <x:v>Weapon</x:v>
      </x:c>
      <x:c r="I64" s="26" t="str">
        <x:v>Ranged +12</x:v>
      </x:c>
      <x:c r="J64" s="34" t="n">
        <x:v>100</x:v>
      </x:c>
      <x:c r="K64" s="26" t="str">
        <x:v>Gear progression, combat sink</x:v>
      </x:c>
      <x:c r="L64" s="26" t="str">
        <x:v>Ranged</x:v>
      </x:c>
    </x:row>
    <x:row r="65" ht="15" hidden="0" customHeight="1">
      <x:c r="A65" s="26" t="str">
        <x:v>willow_bow</x:v>
      </x:c>
      <x:c r="B65" s="26" t="str">
        <x:v>Willow Bow</x:v>
      </x:c>
      <x:c r="C65" s="26" t="str">
        <x:v>Equipment</x:v>
      </x:c>
      <x:c r="D65" s="26" t="n">
        <x:v>3</x:v>
      </x:c>
      <x:c r="E65" s="32" t="b">
        <x:v>0</x:v>
      </x:c>
      <x:c r="F65" s="26" t="str">
        <x:v>Smith/Craft/Drop</x:v>
      </x:c>
      <x:c r="G65" s="26" t="str">
        <x:v>Ranged 30</x:v>
      </x:c>
      <x:c r="H65" s="26" t="str">
        <x:v>Weapon</x:v>
      </x:c>
      <x:c r="I65" s="26" t="str">
        <x:v>Ranged +22</x:v>
      </x:c>
      <x:c r="J65" s="34" t="n">
        <x:v>240</x:v>
      </x:c>
      <x:c r="K65" s="26" t="str">
        <x:v>Gear progression, combat sink</x:v>
      </x:c>
      <x:c r="L65" s="26" t="str">
        <x:v>Ranged</x:v>
      </x:c>
    </x:row>
    <x:row r="66" ht="15" hidden="0" customHeight="1">
      <x:c r="A66" s="26" t="str">
        <x:v>blackroot_bow</x:v>
      </x:c>
      <x:c r="B66" s="26" t="str">
        <x:v>Blackroot Bow</x:v>
      </x:c>
      <x:c r="C66" s="26" t="str">
        <x:v>Equipment</x:v>
      </x:c>
      <x:c r="D66" s="26" t="n">
        <x:v>4</x:v>
      </x:c>
      <x:c r="E66" s="32" t="b">
        <x:v>0</x:v>
      </x:c>
      <x:c r="F66" s="26" t="str">
        <x:v>Smith/Craft/Drop</x:v>
      </x:c>
      <x:c r="G66" s="26" t="str">
        <x:v>Ranged 55</x:v>
      </x:c>
      <x:c r="H66" s="26" t="str">
        <x:v>Weapon</x:v>
      </x:c>
      <x:c r="I66" s="26" t="str">
        <x:v>Ranged +38 poison bonus</x:v>
      </x:c>
      <x:c r="J66" s="34" t="n">
        <x:v>780</x:v>
      </x:c>
      <x:c r="K66" s="26" t="str">
        <x:v>Gear progression, combat sink</x:v>
      </x:c>
      <x:c r="L66" s="26" t="str">
        <x:v>Ranged</x:v>
      </x:c>
    </x:row>
    <x:row r="67" ht="15" hidden="0" customHeight="1">
      <x:c r="A67" s="26" t="str">
        <x:v>leather_gloves</x:v>
      </x:c>
      <x:c r="B67" s="26" t="str">
        <x:v>Leather Gloves</x:v>
      </x:c>
      <x:c r="C67" s="26" t="str">
        <x:v>Equipment</x:v>
      </x:c>
      <x:c r="D67" s="26" t="n">
        <x:v>1</x:v>
      </x:c>
      <x:c r="E67" s="32" t="b">
        <x:v>0</x:v>
      </x:c>
      <x:c r="F67" s="26" t="str">
        <x:v>Smith/Craft/Drop</x:v>
      </x:c>
      <x:c r="G67" s="26" t="str">
        <x:v>Defence 5</x:v>
      </x:c>
      <x:c r="H67" s="26" t="str">
        <x:v>Hands</x:v>
      </x:c>
      <x:c r="I67" s="26" t="str">
        <x:v>Def +2 Ranged +1</x:v>
      </x:c>
      <x:c r="J67" s="34" t="n">
        <x:v>45</x:v>
      </x:c>
      <x:c r="K67" s="26" t="str">
        <x:v>Gear progression, combat sink</x:v>
      </x:c>
      <x:c r="L67" s="26" t="str">
        <x:v>Defence/Ranged</x:v>
      </x:c>
    </x:row>
    <x:row r="68" ht="15" hidden="0" customHeight="1">
      <x:c r="A68" s="26" t="str">
        <x:v>leather_body</x:v>
      </x:c>
      <x:c r="B68" s="26" t="str">
        <x:v>Leather Body</x:v>
      </x:c>
      <x:c r="C68" s="26" t="str">
        <x:v>Equipment</x:v>
      </x:c>
      <x:c r="D68" s="26" t="n">
        <x:v>1</x:v>
      </x:c>
      <x:c r="E68" s="32" t="b">
        <x:v>0</x:v>
      </x:c>
      <x:c r="F68" s="26" t="str">
        <x:v>Smith/Craft/Drop</x:v>
      </x:c>
      <x:c r="G68" s="26" t="str">
        <x:v>Defence 10</x:v>
      </x:c>
      <x:c r="H68" s="26" t="str">
        <x:v>Body</x:v>
      </x:c>
      <x:c r="I68" s="26" t="str">
        <x:v>Def +5 Ranged +2</x:v>
      </x:c>
      <x:c r="J68" s="34" t="n">
        <x:v>120</x:v>
      </x:c>
      <x:c r="K68" s="26" t="str">
        <x:v>Gear progression, combat sink</x:v>
      </x:c>
      <x:c r="L68" s="26" t="str">
        <x:v>Defence/Ranged</x:v>
      </x:c>
    </x:row>
    <x:row r="69" ht="15" hidden="0" customHeight="1">
      <x:c r="A69" s="26" t="str">
        <x:v>bronze_shield</x:v>
      </x:c>
      <x:c r="B69" s="26" t="str">
        <x:v>Bronze Shield</x:v>
      </x:c>
      <x:c r="C69" s="26" t="str">
        <x:v>Equipment</x:v>
      </x:c>
      <x:c r="D69" s="26" t="n">
        <x:v>1</x:v>
      </x:c>
      <x:c r="E69" s="32" t="b">
        <x:v>0</x:v>
      </x:c>
      <x:c r="F69" s="26" t="str">
        <x:v>Smith/Craft/Drop</x:v>
      </x:c>
      <x:c r="G69" s="26" t="str">
        <x:v>Defence 15</x:v>
      </x:c>
      <x:c r="H69" s="26" t="str">
        <x:v>Shield</x:v>
      </x:c>
      <x:c r="I69" s="26" t="str">
        <x:v>Def +8</x:v>
      </x:c>
      <x:c r="J69" s="34" t="n">
        <x:v>70</x:v>
      </x:c>
      <x:c r="K69" s="26" t="str">
        <x:v>Gear progression, combat sink</x:v>
      </x:c>
      <x:c r="L69" s="26" t="str">
        <x:v>Defence</x:v>
      </x:c>
    </x:row>
    <x:row r="70" ht="15" hidden="0" customHeight="1">
      <x:c r="A70" s="26" t="str">
        <x:v>iron_shield</x:v>
      </x:c>
      <x:c r="B70" s="26" t="str">
        <x:v>Iron Shield</x:v>
      </x:c>
      <x:c r="C70" s="26" t="str">
        <x:v>Equipment</x:v>
      </x:c>
      <x:c r="D70" s="26" t="n">
        <x:v>2</x:v>
      </x:c>
      <x:c r="E70" s="32" t="b">
        <x:v>0</x:v>
      </x:c>
      <x:c r="F70" s="26" t="str">
        <x:v>Smith/Craft/Drop</x:v>
      </x:c>
      <x:c r="G70" s="26" t="str">
        <x:v>Defence 20</x:v>
      </x:c>
      <x:c r="H70" s="26" t="str">
        <x:v>Shield</x:v>
      </x:c>
      <x:c r="I70" s="26" t="str">
        <x:v>Def +13</x:v>
      </x:c>
      <x:c r="J70" s="34" t="n">
        <x:v>160</x:v>
      </x:c>
      <x:c r="K70" s="26" t="str">
        <x:v>Gear progression, combat sink</x:v>
      </x:c>
      <x:c r="L70" s="26" t="str">
        <x:v>Defence</x:v>
      </x:c>
    </x:row>
    <x:row r="71" ht="15" hidden="0" customHeight="1">
      <x:c r="A71" s="26" t="str">
        <x:v>steel_shield</x:v>
      </x:c>
      <x:c r="B71" s="26" t="str">
        <x:v>Steel Shield</x:v>
      </x:c>
      <x:c r="C71" s="26" t="str">
        <x:v>Equipment</x:v>
      </x:c>
      <x:c r="D71" s="26" t="n">
        <x:v>3</x:v>
      </x:c>
      <x:c r="E71" s="32" t="b">
        <x:v>0</x:v>
      </x:c>
      <x:c r="F71" s="26" t="str">
        <x:v>Smith/Craft/Drop</x:v>
      </x:c>
      <x:c r="G71" s="26" t="str">
        <x:v>Defence 40</x:v>
      </x:c>
      <x:c r="H71" s="26" t="str">
        <x:v>Shield</x:v>
      </x:c>
      <x:c r="I71" s="26" t="str">
        <x:v>Def +24</x:v>
      </x:c>
      <x:c r="J71" s="34" t="n">
        <x:v>350</x:v>
      </x:c>
      <x:c r="K71" s="26" t="str">
        <x:v>Gear progression, combat sink</x:v>
      </x:c>
      <x:c r="L71" s="26" t="str">
        <x:v>Defence</x:v>
      </x:c>
    </x:row>
    <x:row r="72" ht="15" hidden="0" customHeight="1">
      <x:c r="A72" s="26" t="str">
        <x:v>black_iron_armour</x:v>
      </x:c>
      <x:c r="B72" s="26" t="str">
        <x:v>Black Iron Armour</x:v>
      </x:c>
      <x:c r="C72" s="26" t="str">
        <x:v>Equipment</x:v>
      </x:c>
      <x:c r="D72" s="26" t="n">
        <x:v>4</x:v>
      </x:c>
      <x:c r="E72" s="32" t="b">
        <x:v>0</x:v>
      </x:c>
      <x:c r="F72" s="26" t="str">
        <x:v>Smith/Craft/Drop</x:v>
      </x:c>
      <x:c r="G72" s="26" t="str">
        <x:v>Defence 50</x:v>
      </x:c>
      <x:c r="H72" s="26" t="str">
        <x:v>Body</x:v>
      </x:c>
      <x:c r="I72" s="26" t="str">
        <x:v>Def +35</x:v>
      </x:c>
      <x:c r="J72" s="34" t="n">
        <x:v>1000</x:v>
      </x:c>
      <x:c r="K72" s="26" t="str">
        <x:v>Gear progression, combat sink</x:v>
      </x:c>
      <x:c r="L72" s="26" t="str">
        <x:v>Defence</x:v>
      </x:c>
    </x:row>
    <x:row r="73" ht="15" hidden="0" customHeight="1">
      <x:c r="A73" s="26" t="str">
        <x:v>bog_horror_armour</x:v>
      </x:c>
      <x:c r="B73" s="26" t="str">
        <x:v>Bog Horror Armour</x:v>
      </x:c>
      <x:c r="C73" s="26" t="str">
        <x:v>Equipment</x:v>
      </x:c>
      <x:c r="D73" s="26" t="n">
        <x:v>5</x:v>
      </x:c>
      <x:c r="E73" s="32" t="b">
        <x:v>0</x:v>
      </x:c>
      <x:c r="F73" s="26" t="str">
        <x:v>Smith/Craft/Drop</x:v>
      </x:c>
      <x:c r="G73" s="26" t="str">
        <x:v>Defence 60 Crafting 60</x:v>
      </x:c>
      <x:c r="H73" s="26" t="str">
        <x:v>Body</x:v>
      </x:c>
      <x:c r="I73" s="26" t="str">
        <x:v>Def +38 poison resist</x:v>
      </x:c>
      <x:c r="J73" s="34" t="n">
        <x:v>2200</x:v>
      </x:c>
      <x:c r="K73" s="26" t="str">
        <x:v>Gear progression, combat sink</x:v>
      </x:c>
      <x:c r="L73" s="26" t="str">
        <x:v>Swamp/Bossing</x:v>
      </x:c>
    </x:row>
    <x:row r="74" ht="15" hidden="0" customHeight="1">
      <x:c r="A74" s="26" t="str">
        <x:v>bronze_arrows</x:v>
      </x:c>
      <x:c r="B74" s="26" t="str">
        <x:v>Bronze Arrows</x:v>
      </x:c>
      <x:c r="C74" s="26" t="str">
        <x:v>Ammo</x:v>
      </x:c>
      <x:c r="D74" s="26" t="n">
        <x:v>1</x:v>
      </x:c>
      <x:c r="E74" s="32" t="b">
        <x:v>1</x:v>
      </x:c>
      <x:c r="F74" s="26" t="str">
        <x:v>Smithing/Crafting</x:v>
      </x:c>
      <x:c r="G74" s="26" t="str">
        <x:v>Ranged 10</x:v>
      </x:c>
      <x:c r="H74" s="26" t="str">
        <x:v>Ammo</x:v>
      </x:c>
      <x:c r="I74" s="26" t="str">
        <x:v>Damage +3</x:v>
      </x:c>
      <x:c r="J74" s="34" t="n">
        <x:v>2</x:v>
      </x:c>
      <x:c r="K74" s="26" t="str">
        <x:v>Consumed when using ranged</x:v>
      </x:c>
      <x:c r="L74" s="26" t="str">
        <x:v>Ranged/Combat</x:v>
      </x:c>
    </x:row>
    <x:row r="75" ht="15" hidden="0" customHeight="1">
      <x:c r="A75" s="26" t="str">
        <x:v>iron_arrows</x:v>
      </x:c>
      <x:c r="B75" s="26" t="str">
        <x:v>Iron Arrows</x:v>
      </x:c>
      <x:c r="C75" s="26" t="str">
        <x:v>Ammo</x:v>
      </x:c>
      <x:c r="D75" s="26" t="n">
        <x:v>2</x:v>
      </x:c>
      <x:c r="E75" s="32" t="b">
        <x:v>1</x:v>
      </x:c>
      <x:c r="F75" s="26" t="str">
        <x:v>Smithing/Crafting</x:v>
      </x:c>
      <x:c r="G75" s="26" t="str">
        <x:v>Ranged 20</x:v>
      </x:c>
      <x:c r="H75" s="26" t="str">
        <x:v>Ammo</x:v>
      </x:c>
      <x:c r="I75" s="26" t="str">
        <x:v>Damage +7</x:v>
      </x:c>
      <x:c r="J75" s="34" t="n">
        <x:v>5</x:v>
      </x:c>
      <x:c r="K75" s="26" t="str">
        <x:v>Consumed when using ranged</x:v>
      </x:c>
      <x:c r="L75" s="26" t="str">
        <x:v>Ranged/Combat</x:v>
      </x:c>
    </x:row>
    <x:row r="76" ht="15" hidden="0" customHeight="1">
      <x:c r="A76" s="26" t="str">
        <x:v>poison_arrows</x:v>
      </x:c>
      <x:c r="B76" s="26" t="str">
        <x:v>Poison Arrows</x:v>
      </x:c>
      <x:c r="C76" s="26" t="str">
        <x:v>Ammo</x:v>
      </x:c>
      <x:c r="D76" s="26" t="n">
        <x:v>3</x:v>
      </x:c>
      <x:c r="E76" s="32" t="b">
        <x:v>1</x:v>
      </x:c>
      <x:c r="F76" s="26" t="str">
        <x:v>Smithing/Crafting</x:v>
      </x:c>
      <x:c r="G76" s="26" t="str">
        <x:v>Ranged 35</x:v>
      </x:c>
      <x:c r="H76" s="26" t="str">
        <x:v>Ammo</x:v>
      </x:c>
      <x:c r="I76" s="26" t="str">
        <x:v>Damage +7 poison</x:v>
      </x:c>
      <x:c r="J76" s="34" t="n">
        <x:v>12</x:v>
      </x:c>
      <x:c r="K76" s="26" t="str">
        <x:v>Consumed when using ranged</x:v>
      </x:c>
      <x:c r="L76" s="26" t="str">
        <x:v>Ranged/Combat</x:v>
      </x:c>
    </x:row>
    <x:row r="77" ht="15" hidden="0" customHeight="1">
      <x:c r="A77" s="26" t="str">
        <x:v>steel_arrows</x:v>
      </x:c>
      <x:c r="B77" s="26" t="str">
        <x:v>Steel Arrows</x:v>
      </x:c>
      <x:c r="C77" s="26" t="str">
        <x:v>Ammo</x:v>
      </x:c>
      <x:c r="D77" s="26" t="n">
        <x:v>3</x:v>
      </x:c>
      <x:c r="E77" s="32" t="b">
        <x:v>1</x:v>
      </x:c>
      <x:c r="F77" s="26" t="str">
        <x:v>Smithing/Crafting</x:v>
      </x:c>
      <x:c r="G77" s="26" t="str">
        <x:v>Ranged 45</x:v>
      </x:c>
      <x:c r="H77" s="26" t="str">
        <x:v>Ammo</x:v>
      </x:c>
      <x:c r="I77" s="26" t="str">
        <x:v>Damage +12</x:v>
      </x:c>
      <x:c r="J77" s="34" t="n">
        <x:v>10</x:v>
      </x:c>
      <x:c r="K77" s="26" t="str">
        <x:v>Consumed when using ranged</x:v>
      </x:c>
      <x:c r="L77" s="26" t="str">
        <x:v>Ranged/Combat</x:v>
      </x:c>
    </x:row>
    <x:row r="78" ht="15" hidden="0" customHeight="1">
      <x:c r="A78" s="26" t="str">
        <x:v>barbed_arrows</x:v>
      </x:c>
      <x:c r="B78" s="26" t="str">
        <x:v>Barbed Arrows</x:v>
      </x:c>
      <x:c r="C78" s="26" t="str">
        <x:v>Ammo</x:v>
      </x:c>
      <x:c r="D78" s="26" t="n">
        <x:v>4</x:v>
      </x:c>
      <x:c r="E78" s="32" t="b">
        <x:v>1</x:v>
      </x:c>
      <x:c r="F78" s="26" t="str">
        <x:v>Smithing/Crafting</x:v>
      </x:c>
      <x:c r="G78" s="26" t="str">
        <x:v>Ranged 65</x:v>
      </x:c>
      <x:c r="H78" s="26" t="str">
        <x:v>Ammo</x:v>
      </x:c>
      <x:c r="I78" s="26" t="str">
        <x:v>Damage +18 bleed</x:v>
      </x:c>
      <x:c r="J78" s="34" t="n">
        <x:v>22</x:v>
      </x:c>
      <x:c r="K78" s="26" t="str">
        <x:v>Consumed when using ranged</x:v>
      </x:c>
      <x:c r="L78" s="26" t="str">
        <x:v>Ranged/Combat</x:v>
      </x:c>
    </x:row>
    <x:row r="79" ht="15" hidden="0" customHeight="1">
      <x:c r="A79" s="26" t="str">
        <x:v>cooked_shrimp</x:v>
      </x:c>
      <x:c r="B79" s="26" t="str">
        <x:v>Cooked Shrimp</x:v>
      </x:c>
      <x:c r="C79" s="26" t="str">
        <x:v>Food</x:v>
      </x:c>
      <x:c r="D79" s="26" t="n">
        <x:v>1</x:v>
      </x:c>
      <x:c r="E79" s="32" t="b">
        <x:v>0</x:v>
      </x:c>
      <x:c r="F79" s="26" t="str">
        <x:v>Cooking</x:v>
      </x:c>
      <x:c r="G79" s="26" t="str">
        <x:v>Cooking 1</x:v>
      </x:c>
      <x:c r="H79" s="26" t="str">
        <x:v>Consumable</x:v>
      </x:c>
      <x:c r="I79" s="26" t="str">
        <x:v>Heal 3</x:v>
      </x:c>
      <x:c r="J79" s="34" t="n">
        <x:v>4</x:v>
      </x:c>
      <x:c r="K79" s="26" t="str">
        <x:v>Consumed in combat/travel</x:v>
      </x:c>
      <x:c r="L79" s="26" t="str">
        <x:v>Combat/Exploration</x:v>
      </x:c>
    </x:row>
    <x:row r="80" ht="15" hidden="0" customHeight="1">
      <x:c r="A80" s="26" t="str">
        <x:v>cooked_mudfish</x:v>
      </x:c>
      <x:c r="B80" s="26" t="str">
        <x:v>Cooked Mudfish</x:v>
      </x:c>
      <x:c r="C80" s="26" t="str">
        <x:v>Food</x:v>
      </x:c>
      <x:c r="D80" s="26" t="n">
        <x:v>1</x:v>
      </x:c>
      <x:c r="E80" s="32" t="b">
        <x:v>0</x:v>
      </x:c>
      <x:c r="F80" s="26" t="str">
        <x:v>Cooking</x:v>
      </x:c>
      <x:c r="G80" s="26" t="str">
        <x:v>Cooking 5</x:v>
      </x:c>
      <x:c r="H80" s="26" t="str">
        <x:v>Consumable</x:v>
      </x:c>
      <x:c r="I80" s="26" t="str">
        <x:v>Heal 5</x:v>
      </x:c>
      <x:c r="J80" s="34" t="n">
        <x:v>6</x:v>
      </x:c>
      <x:c r="K80" s="26" t="str">
        <x:v>Consumed in combat/travel</x:v>
      </x:c>
      <x:c r="L80" s="26" t="str">
        <x:v>Combat/Exploration</x:v>
      </x:c>
    </x:row>
    <x:row r="81" ht="15" hidden="0" customHeight="1">
      <x:c r="A81" s="26" t="str">
        <x:v>cooked_trout</x:v>
      </x:c>
      <x:c r="B81" s="26" t="str">
        <x:v>Cooked Trout</x:v>
      </x:c>
      <x:c r="C81" s="26" t="str">
        <x:v>Food</x:v>
      </x:c>
      <x:c r="D81" s="26" t="n">
        <x:v>1</x:v>
      </x:c>
      <x:c r="E81" s="32" t="b">
        <x:v>0</x:v>
      </x:c>
      <x:c r="F81" s="26" t="str">
        <x:v>Cooking</x:v>
      </x:c>
      <x:c r="G81" s="26" t="str">
        <x:v>Cooking 10</x:v>
      </x:c>
      <x:c r="H81" s="26" t="str">
        <x:v>Consumable</x:v>
      </x:c>
      <x:c r="I81" s="26" t="str">
        <x:v>Heal 7</x:v>
      </x:c>
      <x:c r="J81" s="34" t="n">
        <x:v>12</x:v>
      </x:c>
      <x:c r="K81" s="26" t="str">
        <x:v>Consumed in combat/travel</x:v>
      </x:c>
      <x:c r="L81" s="26" t="str">
        <x:v>Combat/Exploration</x:v>
      </x:c>
    </x:row>
    <x:row r="82" ht="15" hidden="0" customHeight="1">
      <x:c r="A82" s="26" t="str">
        <x:v>eel_skewer</x:v>
      </x:c>
      <x:c r="B82" s="26" t="str">
        <x:v>Eel Skewer</x:v>
      </x:c>
      <x:c r="C82" s="26" t="str">
        <x:v>Food</x:v>
      </x:c>
      <x:c r="D82" s="26" t="n">
        <x:v>2</x:v>
      </x:c>
      <x:c r="E82" s="32" t="b">
        <x:v>0</x:v>
      </x:c>
      <x:c r="F82" s="26" t="str">
        <x:v>Cooking</x:v>
      </x:c>
      <x:c r="G82" s="26" t="str">
        <x:v>Cooking 15</x:v>
      </x:c>
      <x:c r="H82" s="26" t="str">
        <x:v>Consumable</x:v>
      </x:c>
      <x:c r="I82" s="26" t="str">
        <x:v>Heal 9</x:v>
      </x:c>
      <x:c r="J82" s="34" t="n">
        <x:v>18</x:v>
      </x:c>
      <x:c r="K82" s="26" t="str">
        <x:v>Consumed in combat/travel</x:v>
      </x:c>
      <x:c r="L82" s="26" t="str">
        <x:v>Combat/Exploration</x:v>
      </x:c>
    </x:row>
    <x:row r="83" ht="15" hidden="0" customHeight="1">
      <x:c r="A83" s="26" t="str">
        <x:v>grilled_pike</x:v>
      </x:c>
      <x:c r="B83" s="26" t="str">
        <x:v>Grilled Pike</x:v>
      </x:c>
      <x:c r="C83" s="26" t="str">
        <x:v>Food</x:v>
      </x:c>
      <x:c r="D83" s="26" t="n">
        <x:v>2</x:v>
      </x:c>
      <x:c r="E83" s="32" t="b">
        <x:v>0</x:v>
      </x:c>
      <x:c r="F83" s="26" t="str">
        <x:v>Cooking</x:v>
      </x:c>
      <x:c r="G83" s="26" t="str">
        <x:v>Cooking 20</x:v>
      </x:c>
      <x:c r="H83" s="26" t="str">
        <x:v>Consumable</x:v>
      </x:c>
      <x:c r="I83" s="26" t="str">
        <x:v>Heal 12</x:v>
      </x:c>
      <x:c r="J83" s="34" t="n">
        <x:v>35</x:v>
      </x:c>
      <x:c r="K83" s="26" t="str">
        <x:v>Consumed in combat/travel</x:v>
      </x:c>
      <x:c r="L83" s="26" t="str">
        <x:v>Combat/Exploration</x:v>
      </x:c>
    </x:row>
    <x:row r="84" ht="15" hidden="0" customHeight="1">
      <x:c r="A84" s="26" t="str">
        <x:v>bog_eel_stew</x:v>
      </x:c>
      <x:c r="B84" s="26" t="str">
        <x:v>Bog Eel Stew</x:v>
      </x:c>
      <x:c r="C84" s="26" t="str">
        <x:v>Food</x:v>
      </x:c>
      <x:c r="D84" s="26" t="n">
        <x:v>3</x:v>
      </x:c>
      <x:c r="E84" s="32" t="b">
        <x:v>0</x:v>
      </x:c>
      <x:c r="F84" s="26" t="str">
        <x:v>Cooking</x:v>
      </x:c>
      <x:c r="G84" s="26" t="str">
        <x:v>Cooking 30</x:v>
      </x:c>
      <x:c r="H84" s="26" t="str">
        <x:v>Consumable</x:v>
      </x:c>
      <x:c r="I84" s="26" t="str">
        <x:v>Heal 10 + poison resist</x:v>
      </x:c>
      <x:c r="J84" s="34" t="n">
        <x:v>80</x:v>
      </x:c>
      <x:c r="K84" s="26" t="str">
        <x:v>Consumed in combat/travel</x:v>
      </x:c>
      <x:c r="L84" s="26" t="str">
        <x:v>Combat/Exploration</x:v>
      </x:c>
    </x:row>
    <x:row r="85" ht="15" hidden="0" customHeight="1">
      <x:c r="A85" s="26" t="str">
        <x:v>carp_fillet</x:v>
      </x:c>
      <x:c r="B85" s="26" t="str">
        <x:v>Carp Fillet</x:v>
      </x:c>
      <x:c r="C85" s="26" t="str">
        <x:v>Food</x:v>
      </x:c>
      <x:c r="D85" s="26" t="n">
        <x:v>3</x:v>
      </x:c>
      <x:c r="E85" s="32" t="b">
        <x:v>0</x:v>
      </x:c>
      <x:c r="F85" s="26" t="str">
        <x:v>Cooking</x:v>
      </x:c>
      <x:c r="G85" s="26" t="str">
        <x:v>Cooking 40</x:v>
      </x:c>
      <x:c r="H85" s="26" t="str">
        <x:v>Consumable</x:v>
      </x:c>
      <x:c r="I85" s="26" t="str">
        <x:v>Heal 14</x:v>
      </x:c>
      <x:c r="J85" s="34" t="n">
        <x:v>75</x:v>
      </x:c>
      <x:c r="K85" s="26" t="str">
        <x:v>Consumed in combat/travel</x:v>
      </x:c>
      <x:c r="L85" s="26" t="str">
        <x:v>Combat/Exploration</x:v>
      </x:c>
    </x:row>
    <x:row r="86" ht="15" hidden="0" customHeight="1">
      <x:c r="A86" s="26" t="str">
        <x:v>cavefish_roast</x:v>
      </x:c>
      <x:c r="B86" s="26" t="str">
        <x:v>Cavefish Roast</x:v>
      </x:c>
      <x:c r="C86" s="26" t="str">
        <x:v>Food</x:v>
      </x:c>
      <x:c r="D86" s="26" t="n">
        <x:v>4</x:v>
      </x:c>
      <x:c r="E86" s="32" t="b">
        <x:v>0</x:v>
      </x:c>
      <x:c r="F86" s="26" t="str">
        <x:v>Cooking</x:v>
      </x:c>
      <x:c r="G86" s="26" t="str">
        <x:v>Cooking 50</x:v>
      </x:c>
      <x:c r="H86" s="26" t="str">
        <x:v>Consumable</x:v>
      </x:c>
      <x:c r="I86" s="26" t="str">
        <x:v>Heal 16</x:v>
      </x:c>
      <x:c r="J86" s="34" t="n">
        <x:v>140</x:v>
      </x:c>
      <x:c r="K86" s="26" t="str">
        <x:v>Consumed in combat/travel</x:v>
      </x:c>
      <x:c r="L86" s="26" t="str">
        <x:v>Combat/Exploration</x:v>
      </x:c>
    </x:row>
    <x:row r="87" ht="15" hidden="0" customHeight="1">
      <x:c r="A87" s="26" t="str">
        <x:v>catfish_steak</x:v>
      </x:c>
      <x:c r="B87" s="26" t="str">
        <x:v>Catfish Steak</x:v>
      </x:c>
      <x:c r="C87" s="26" t="str">
        <x:v>Food</x:v>
      </x:c>
      <x:c r="D87" s="26" t="n">
        <x:v>4</x:v>
      </x:c>
      <x:c r="E87" s="32" t="b">
        <x:v>0</x:v>
      </x:c>
      <x:c r="F87" s="26" t="str">
        <x:v>Cooking</x:v>
      </x:c>
      <x:c r="G87" s="26" t="str">
        <x:v>Cooking 60</x:v>
      </x:c>
      <x:c r="H87" s="26" t="str">
        <x:v>Consumable</x:v>
      </x:c>
      <x:c r="I87" s="26" t="str">
        <x:v>Heal 20</x:v>
      </x:c>
      <x:c r="J87" s="34" t="n">
        <x:v>250</x:v>
      </x:c>
      <x:c r="K87" s="26" t="str">
        <x:v>Consumed in combat/travel</x:v>
      </x:c>
      <x:c r="L87" s="26" t="str">
        <x:v>Combat/Exploration</x:v>
      </x:c>
    </x:row>
    <x:row r="88" ht="15" hidden="0" customHeight="1">
      <x:c r="A88" s="26" t="str">
        <x:v>grubshark_feast</x:v>
      </x:c>
      <x:c r="B88" s="26" t="str">
        <x:v>Grubshark Feast</x:v>
      </x:c>
      <x:c r="C88" s="26" t="str">
        <x:v>Food</x:v>
      </x:c>
      <x:c r="D88" s="26" t="n">
        <x:v>5</x:v>
      </x:c>
      <x:c r="E88" s="32" t="b">
        <x:v>0</x:v>
      </x:c>
      <x:c r="F88" s="26" t="str">
        <x:v>Cooking</x:v>
      </x:c>
      <x:c r="G88" s="26" t="str">
        <x:v>Cooking 70</x:v>
      </x:c>
      <x:c r="H88" s="26" t="str">
        <x:v>Consumable</x:v>
      </x:c>
      <x:c r="I88" s="26" t="str">
        <x:v>Heal 25 + Strength buff</x:v>
      </x:c>
      <x:c r="J88" s="34" t="n">
        <x:v>500</x:v>
      </x:c>
      <x:c r="K88" s="26" t="str">
        <x:v>Consumed in combat/travel</x:v>
      </x:c>
      <x:c r="L88" s="26" t="str">
        <x:v>Combat/Exploration</x:v>
      </x:c>
    </x:row>
    <x:row r="89" ht="15" hidden="0" customHeight="1">
      <x:c r="A89" s="26" t="str">
        <x:v>war_feast</x:v>
      </x:c>
      <x:c r="B89" s="26" t="str">
        <x:v>War Feast</x:v>
      </x:c>
      <x:c r="C89" s="26" t="str">
        <x:v>Food</x:v>
      </x:c>
      <x:c r="D89" s="26" t="n">
        <x:v>5</x:v>
      </x:c>
      <x:c r="E89" s="32" t="b">
        <x:v>0</x:v>
      </x:c>
      <x:c r="F89" s="26" t="str">
        <x:v>Cooking</x:v>
      </x:c>
      <x:c r="G89" s="26" t="str">
        <x:v>Cooking 70</x:v>
      </x:c>
      <x:c r="H89" s="26" t="str">
        <x:v>Consumable</x:v>
      </x:c>
      <x:c r="I89" s="26" t="str">
        <x:v>Heal 22 + Strength buff</x:v>
      </x:c>
      <x:c r="J89" s="34" t="n">
        <x:v>450</x:v>
      </x:c>
      <x:c r="K89" s="26" t="str">
        <x:v>Consumed in combat/travel</x:v>
      </x:c>
      <x:c r="L89" s="26" t="str">
        <x:v>Combat/Exploration</x:v>
      </x:c>
    </x:row>
    <x:row r="90" ht="15" hidden="0" customHeight="1">
      <x:c r="A90" s="26" t="str">
        <x:v>rat_meat</x:v>
      </x:c>
      <x:c r="B90" s="26" t="str">
        <x:v>Rat Meat</x:v>
      </x:c>
      <x:c r="C90" s="26" t="str">
        <x:v>Monster Material/Unique</x:v>
      </x:c>
      <x:c r="D90" s="26" t="n">
        <x:v>1</x:v>
      </x:c>
      <x:c r="E90" s="32" t="b">
        <x:v>1</x:v>
      </x:c>
      <x:c r="F90" s="26" t="str">
        <x:v>Monster drops</x:v>
      </x:c>
      <x:c r="G90" s="26" t="str">
        <x:v>Varies</x:v>
      </x:c>
      <x:c r="H90" s="26" t="str"/>
      <x:c r="I90" s="26" t="str">
        <x:v>Craft/quest component</x:v>
      </x:c>
      <x:c r="J90" s="34" t="n">
        <x:v>3</x:v>
      </x:c>
      <x:c r="K90" s="26" t="str">
        <x:v>Crafting, quests, gear upgrades</x:v>
      </x:c>
      <x:c r="L90" s="26" t="str">
        <x:v>Crafting/Combat</x:v>
      </x:c>
    </x:row>
    <x:row r="91" ht="15" hidden="0" customHeight="1">
      <x:c r="A91" s="26" t="str">
        <x:v>grub_meat</x:v>
      </x:c>
      <x:c r="B91" s="26" t="str">
        <x:v>Grub Meat</x:v>
      </x:c>
      <x:c r="C91" s="26" t="str">
        <x:v>Monster Material/Unique</x:v>
      </x:c>
      <x:c r="D91" s="26" t="n">
        <x:v>1</x:v>
      </x:c>
      <x:c r="E91" s="32" t="b">
        <x:v>1</x:v>
      </x:c>
      <x:c r="F91" s="26" t="str">
        <x:v>Monster drops</x:v>
      </x:c>
      <x:c r="G91" s="26" t="str">
        <x:v>Varies</x:v>
      </x:c>
      <x:c r="H91" s="26" t="str"/>
      <x:c r="I91" s="26" t="str">
        <x:v>Craft/quest component</x:v>
      </x:c>
      <x:c r="J91" s="34" t="n">
        <x:v>4</x:v>
      </x:c>
      <x:c r="K91" s="26" t="str">
        <x:v>Crafting, quests, gear upgrades</x:v>
      </x:c>
      <x:c r="L91" s="26" t="str">
        <x:v>Crafting/Combat</x:v>
      </x:c>
    </x:row>
    <x:row r="92" ht="15" hidden="0" customHeight="1">
      <x:c r="A92" s="26" t="str">
        <x:v>boar_meat</x:v>
      </x:c>
      <x:c r="B92" s="26" t="str">
        <x:v>Boar Meat</x:v>
      </x:c>
      <x:c r="C92" s="26" t="str">
        <x:v>Monster Material/Unique</x:v>
      </x:c>
      <x:c r="D92" s="26" t="n">
        <x:v>1</x:v>
      </x:c>
      <x:c r="E92" s="32" t="b">
        <x:v>1</x:v>
      </x:c>
      <x:c r="F92" s="26" t="str">
        <x:v>Monster drops</x:v>
      </x:c>
      <x:c r="G92" s="26" t="str">
        <x:v>Varies</x:v>
      </x:c>
      <x:c r="H92" s="26" t="str"/>
      <x:c r="I92" s="26" t="str">
        <x:v>Craft/quest component</x:v>
      </x:c>
      <x:c r="J92" s="34" t="n">
        <x:v>12</x:v>
      </x:c>
      <x:c r="K92" s="26" t="str">
        <x:v>Crafting, quests, gear upgrades</x:v>
      </x:c>
      <x:c r="L92" s="26" t="str">
        <x:v>Crafting/Combat</x:v>
      </x:c>
    </x:row>
    <x:row r="93" ht="15" hidden="0" customHeight="1">
      <x:c r="A93" s="26" t="str">
        <x:v>wolf_meat</x:v>
      </x:c>
      <x:c r="B93" s="26" t="str">
        <x:v>Wolf Meat</x:v>
      </x:c>
      <x:c r="C93" s="26" t="str">
        <x:v>Monster Material/Unique</x:v>
      </x:c>
      <x:c r="D93" s="26" t="n">
        <x:v>1</x:v>
      </x:c>
      <x:c r="E93" s="32" t="b">
        <x:v>1</x:v>
      </x:c>
      <x:c r="F93" s="26" t="str">
        <x:v>Monster drops</x:v>
      </x:c>
      <x:c r="G93" s="26" t="str">
        <x:v>Varies</x:v>
      </x:c>
      <x:c r="H93" s="26" t="str"/>
      <x:c r="I93" s="26" t="str">
        <x:v>Craft/quest component</x:v>
      </x:c>
      <x:c r="J93" s="34" t="n">
        <x:v>16</x:v>
      </x:c>
      <x:c r="K93" s="26" t="str">
        <x:v>Crafting, quests, gear upgrades</x:v>
      </x:c>
      <x:c r="L93" s="26" t="str">
        <x:v>Crafting/Combat</x:v>
      </x:c>
    </x:row>
    <x:row r="94" ht="15" hidden="0" customHeight="1">
      <x:c r="A94" s="26" t="str">
        <x:v>troll_meat</x:v>
      </x:c>
      <x:c r="B94" s="26" t="str">
        <x:v>Troll Meat</x:v>
      </x:c>
      <x:c r="C94" s="26" t="str">
        <x:v>Monster Material/Unique</x:v>
      </x:c>
      <x:c r="D94" s="26" t="n">
        <x:v>1</x:v>
      </x:c>
      <x:c r="E94" s="32" t="b">
        <x:v>1</x:v>
      </x:c>
      <x:c r="F94" s="26" t="str">
        <x:v>Monster drops</x:v>
      </x:c>
      <x:c r="G94" s="26" t="str">
        <x:v>Varies</x:v>
      </x:c>
      <x:c r="H94" s="26" t="str"/>
      <x:c r="I94" s="26" t="str">
        <x:v>Craft/quest component</x:v>
      </x:c>
      <x:c r="J94" s="34" t="n">
        <x:v>45</x:v>
      </x:c>
      <x:c r="K94" s="26" t="str">
        <x:v>Crafting, quests, gear upgrades</x:v>
      </x:c>
      <x:c r="L94" s="26" t="str">
        <x:v>Crafting/Combat</x:v>
      </x:c>
    </x:row>
    <x:row r="95" ht="15" hidden="0" customHeight="1">
      <x:c r="A95" s="26" t="str">
        <x:v>bones</x:v>
      </x:c>
      <x:c r="B95" s="26" t="str">
        <x:v>Bones</x:v>
      </x:c>
      <x:c r="C95" s="26" t="str">
        <x:v>Monster Material/Unique</x:v>
      </x:c>
      <x:c r="D95" s="26" t="n">
        <x:v>1</x:v>
      </x:c>
      <x:c r="E95" s="32" t="b">
        <x:v>1</x:v>
      </x:c>
      <x:c r="F95" s="26" t="str">
        <x:v>Monster drops</x:v>
      </x:c>
      <x:c r="G95" s="26" t="str">
        <x:v>Varies</x:v>
      </x:c>
      <x:c r="H95" s="26" t="str"/>
      <x:c r="I95" s="26" t="str">
        <x:v>Craft/quest component</x:v>
      </x:c>
      <x:c r="J95" s="34" t="n">
        <x:v>5</x:v>
      </x:c>
      <x:c r="K95" s="26" t="str">
        <x:v>Crafting, quests, gear upgrades</x:v>
      </x:c>
      <x:c r="L95" s="26" t="str">
        <x:v>Crafting/Combat</x:v>
      </x:c>
    </x:row>
    <x:row r="96" ht="15" hidden="0" customHeight="1">
      <x:c r="A96" s="26" t="str">
        <x:v>big_bones</x:v>
      </x:c>
      <x:c r="B96" s="26" t="str">
        <x:v>Big Bones</x:v>
      </x:c>
      <x:c r="C96" s="26" t="str">
        <x:v>Monster Material/Unique</x:v>
      </x:c>
      <x:c r="D96" s="26" t="n">
        <x:v>1</x:v>
      </x:c>
      <x:c r="E96" s="32" t="b">
        <x:v>1</x:v>
      </x:c>
      <x:c r="F96" s="26" t="str">
        <x:v>Monster drops</x:v>
      </x:c>
      <x:c r="G96" s="26" t="str">
        <x:v>Varies</x:v>
      </x:c>
      <x:c r="H96" s="26" t="str"/>
      <x:c r="I96" s="26" t="str">
        <x:v>Craft/quest component</x:v>
      </x:c>
      <x:c r="J96" s="34" t="n">
        <x:v>25</x:v>
      </x:c>
      <x:c r="K96" s="26" t="str">
        <x:v>Crafting, quests, gear upgrades</x:v>
      </x:c>
      <x:c r="L96" s="26" t="str">
        <x:v>Crafting/Combat</x:v>
      </x:c>
    </x:row>
    <x:row r="97" ht="15" hidden="0" customHeight="1">
      <x:c r="A97" s="26" t="str">
        <x:v>hide_scrap</x:v>
      </x:c>
      <x:c r="B97" s="26" t="str">
        <x:v>Hide Scrap</x:v>
      </x:c>
      <x:c r="C97" s="26" t="str">
        <x:v>Monster Material/Unique</x:v>
      </x:c>
      <x:c r="D97" s="26" t="n">
        <x:v>1</x:v>
      </x:c>
      <x:c r="E97" s="32" t="b">
        <x:v>1</x:v>
      </x:c>
      <x:c r="F97" s="26" t="str">
        <x:v>Monster drops</x:v>
      </x:c>
      <x:c r="G97" s="26" t="str">
        <x:v>Varies</x:v>
      </x:c>
      <x:c r="H97" s="26" t="str"/>
      <x:c r="I97" s="26" t="str">
        <x:v>Craft/quest component</x:v>
      </x:c>
      <x:c r="J97" s="34" t="n">
        <x:v>8</x:v>
      </x:c>
      <x:c r="K97" s="26" t="str">
        <x:v>Crafting, quests, gear upgrades</x:v>
      </x:c>
      <x:c r="L97" s="26" t="str">
        <x:v>Crafting/Combat</x:v>
      </x:c>
    </x:row>
    <x:row r="98" ht="15" hidden="0" customHeight="1">
      <x:c r="A98" s="26" t="str">
        <x:v>tough_hide</x:v>
      </x:c>
      <x:c r="B98" s="26" t="str">
        <x:v>Tough Hide</x:v>
      </x:c>
      <x:c r="C98" s="26" t="str">
        <x:v>Monster Material/Unique</x:v>
      </x:c>
      <x:c r="D98" s="26" t="n">
        <x:v>1</x:v>
      </x:c>
      <x:c r="E98" s="32" t="b">
        <x:v>1</x:v>
      </x:c>
      <x:c r="F98" s="26" t="str">
        <x:v>Monster drops</x:v>
      </x:c>
      <x:c r="G98" s="26" t="str">
        <x:v>Varies</x:v>
      </x:c>
      <x:c r="H98" s="26" t="str"/>
      <x:c r="I98" s="26" t="str">
        <x:v>Craft/quest component</x:v>
      </x:c>
      <x:c r="J98" s="34" t="n">
        <x:v>25</x:v>
      </x:c>
      <x:c r="K98" s="26" t="str">
        <x:v>Crafting, quests, gear upgrades</x:v>
      </x:c>
      <x:c r="L98" s="26" t="str">
        <x:v>Crafting/Combat</x:v>
      </x:c>
    </x:row>
    <x:row r="99" ht="15" hidden="0" customHeight="1">
      <x:c r="A99" s="26" t="str">
        <x:v>wolf_hide</x:v>
      </x:c>
      <x:c r="B99" s="26" t="str">
        <x:v>Wolf Hide</x:v>
      </x:c>
      <x:c r="C99" s="26" t="str">
        <x:v>Monster Material/Unique</x:v>
      </x:c>
      <x:c r="D99" s="26" t="n">
        <x:v>1</x:v>
      </x:c>
      <x:c r="E99" s="32" t="b">
        <x:v>1</x:v>
      </x:c>
      <x:c r="F99" s="26" t="str">
        <x:v>Monster drops</x:v>
      </x:c>
      <x:c r="G99" s="26" t="str">
        <x:v>Varies</x:v>
      </x:c>
      <x:c r="H99" s="26" t="str"/>
      <x:c r="I99" s="26" t="str">
        <x:v>Craft/quest component</x:v>
      </x:c>
      <x:c r="J99" s="34" t="n">
        <x:v>35</x:v>
      </x:c>
      <x:c r="K99" s="26" t="str">
        <x:v>Crafting, quests, gear upgrades</x:v>
      </x:c>
      <x:c r="L99" s="26" t="str">
        <x:v>Crafting/Combat</x:v>
      </x:c>
    </x:row>
    <x:row r="100" ht="15" hidden="0" customHeight="1">
      <x:c r="A100" s="26" t="str">
        <x:v>troll_hide</x:v>
      </x:c>
      <x:c r="B100" s="26" t="str">
        <x:v>Troll Hide</x:v>
      </x:c>
      <x:c r="C100" s="26" t="str">
        <x:v>Monster Material/Unique</x:v>
      </x:c>
      <x:c r="D100" s="26" t="n">
        <x:v>1</x:v>
      </x:c>
      <x:c r="E100" s="32" t="b">
        <x:v>1</x:v>
      </x:c>
      <x:c r="F100" s="26" t="str">
        <x:v>Monster drops</x:v>
      </x:c>
      <x:c r="G100" s="26" t="str">
        <x:v>Varies</x:v>
      </x:c>
      <x:c r="H100" s="26" t="str"/>
      <x:c r="I100" s="26" t="str">
        <x:v>Craft/quest component</x:v>
      </x:c>
      <x:c r="J100" s="34" t="n">
        <x:v>100</x:v>
      </x:c>
      <x:c r="K100" s="26" t="str">
        <x:v>Crafting, quests, gear upgrades</x:v>
      </x:c>
      <x:c r="L100" s="26" t="str">
        <x:v>Crafting/Combat</x:v>
      </x:c>
    </x:row>
    <x:row r="101" ht="15" hidden="0" customHeight="1">
      <x:c r="A101" s="26" t="str">
        <x:v>spider_silk</x:v>
      </x:c>
      <x:c r="B101" s="26" t="str">
        <x:v>Spider Silk</x:v>
      </x:c>
      <x:c r="C101" s="26" t="str">
        <x:v>Monster Material/Unique</x:v>
      </x:c>
      <x:c r="D101" s="26" t="n">
        <x:v>1</x:v>
      </x:c>
      <x:c r="E101" s="32" t="b">
        <x:v>1</x:v>
      </x:c>
      <x:c r="F101" s="26" t="str">
        <x:v>Monster drops</x:v>
      </x:c>
      <x:c r="G101" s="26" t="str">
        <x:v>Varies</x:v>
      </x:c>
      <x:c r="H101" s="26" t="str"/>
      <x:c r="I101" s="26" t="str">
        <x:v>Craft/quest component</x:v>
      </x:c>
      <x:c r="J101" s="34" t="n">
        <x:v>18</x:v>
      </x:c>
      <x:c r="K101" s="26" t="str">
        <x:v>Crafting, quests, gear upgrades</x:v>
      </x:c>
      <x:c r="L101" s="26" t="str">
        <x:v>Crafting/Combat</x:v>
      </x:c>
    </x:row>
    <x:row r="102" ht="15" hidden="0" customHeight="1">
      <x:c r="A102" s="26" t="str">
        <x:v>poison_gland</x:v>
      </x:c>
      <x:c r="B102" s="26" t="str">
        <x:v>Poison Gland</x:v>
      </x:c>
      <x:c r="C102" s="26" t="str">
        <x:v>Monster Material/Unique</x:v>
      </x:c>
      <x:c r="D102" s="26" t="n">
        <x:v>1</x:v>
      </x:c>
      <x:c r="E102" s="32" t="b">
        <x:v>1</x:v>
      </x:c>
      <x:c r="F102" s="26" t="str">
        <x:v>Monster drops</x:v>
      </x:c>
      <x:c r="G102" s="26" t="str">
        <x:v>Varies</x:v>
      </x:c>
      <x:c r="H102" s="26" t="str"/>
      <x:c r="I102" s="26" t="str">
        <x:v>Craft/quest component</x:v>
      </x:c>
      <x:c r="J102" s="34" t="n">
        <x:v>35</x:v>
      </x:c>
      <x:c r="K102" s="26" t="str">
        <x:v>Crafting, quests, gear upgrades</x:v>
      </x:c>
      <x:c r="L102" s="26" t="str">
        <x:v>Crafting/Combat</x:v>
      </x:c>
    </x:row>
    <x:row r="103" ht="15" hidden="0" customHeight="1">
      <x:c r="A103" s="26" t="str">
        <x:v>bug_shell</x:v>
      </x:c>
      <x:c r="B103" s="26" t="str">
        <x:v>Bug Shell</x:v>
      </x:c>
      <x:c r="C103" s="26" t="str">
        <x:v>Monster Material/Unique</x:v>
      </x:c>
      <x:c r="D103" s="26" t="n">
        <x:v>1</x:v>
      </x:c>
      <x:c r="E103" s="32" t="b">
        <x:v>1</x:v>
      </x:c>
      <x:c r="F103" s="26" t="str">
        <x:v>Monster drops</x:v>
      </x:c>
      <x:c r="G103" s="26" t="str">
        <x:v>Varies</x:v>
      </x:c>
      <x:c r="H103" s="26" t="str"/>
      <x:c r="I103" s="26" t="str">
        <x:v>Craft/quest component</x:v>
      </x:c>
      <x:c r="J103" s="34" t="n">
        <x:v>10</x:v>
      </x:c>
      <x:c r="K103" s="26" t="str">
        <x:v>Crafting, quests, gear upgrades</x:v>
      </x:c>
      <x:c r="L103" s="26" t="str">
        <x:v>Crafting/Combat</x:v>
      </x:c>
    </x:row>
    <x:row r="104" ht="15" hidden="0" customHeight="1">
      <x:c r="A104" s="26" t="str">
        <x:v>chitin_plate</x:v>
      </x:c>
      <x:c r="B104" s="26" t="str">
        <x:v>Chitin Plate</x:v>
      </x:c>
      <x:c r="C104" s="26" t="str">
        <x:v>Monster Material/Unique</x:v>
      </x:c>
      <x:c r="D104" s="26" t="n">
        <x:v>1</x:v>
      </x:c>
      <x:c r="E104" s="32" t="b">
        <x:v>1</x:v>
      </x:c>
      <x:c r="F104" s="26" t="str">
        <x:v>Monster drops</x:v>
      </x:c>
      <x:c r="G104" s="26" t="str">
        <x:v>Varies</x:v>
      </x:c>
      <x:c r="H104" s="26" t="str"/>
      <x:c r="I104" s="26" t="str">
        <x:v>Craft/quest component</x:v>
      </x:c>
      <x:c r="J104" s="34" t="n">
        <x:v>60</x:v>
      </x:c>
      <x:c r="K104" s="26" t="str">
        <x:v>Crafting, quests, gear upgrades</x:v>
      </x:c>
      <x:c r="L104" s="26" t="str">
        <x:v>Crafting/Combat</x:v>
      </x:c>
    </x:row>
    <x:row r="105" ht="15" hidden="0" customHeight="1">
      <x:c r="A105" s="26" t="str">
        <x:v>slime_glob</x:v>
      </x:c>
      <x:c r="B105" s="26" t="str">
        <x:v>Slime Glob</x:v>
      </x:c>
      <x:c r="C105" s="26" t="str">
        <x:v>Monster Material/Unique</x:v>
      </x:c>
      <x:c r="D105" s="26" t="n">
        <x:v>1</x:v>
      </x:c>
      <x:c r="E105" s="32" t="b">
        <x:v>1</x:v>
      </x:c>
      <x:c r="F105" s="26" t="str">
        <x:v>Monster drops</x:v>
      </x:c>
      <x:c r="G105" s="26" t="str">
        <x:v>Varies</x:v>
      </x:c>
      <x:c r="H105" s="26" t="str"/>
      <x:c r="I105" s="26" t="str">
        <x:v>Craft/quest component</x:v>
      </x:c>
      <x:c r="J105" s="34" t="n">
        <x:v>20</x:v>
      </x:c>
      <x:c r="K105" s="26" t="str">
        <x:v>Crafting, quests, gear upgrades</x:v>
      </x:c>
      <x:c r="L105" s="26" t="str">
        <x:v>Crafting/Combat</x:v>
      </x:c>
    </x:row>
    <x:row r="106" ht="15" hidden="0" customHeight="1">
      <x:c r="A106" s="26" t="str">
        <x:v>bat_wing</x:v>
      </x:c>
      <x:c r="B106" s="26" t="str">
        <x:v>Bat Wing</x:v>
      </x:c>
      <x:c r="C106" s="26" t="str">
        <x:v>Monster Material/Unique</x:v>
      </x:c>
      <x:c r="D106" s="26" t="n">
        <x:v>1</x:v>
      </x:c>
      <x:c r="E106" s="32" t="b">
        <x:v>1</x:v>
      </x:c>
      <x:c r="F106" s="26" t="str">
        <x:v>Monster drops</x:v>
      </x:c>
      <x:c r="G106" s="26" t="str">
        <x:v>Varies</x:v>
      </x:c>
      <x:c r="H106" s="26" t="str"/>
      <x:c r="I106" s="26" t="str">
        <x:v>Craft/quest component</x:v>
      </x:c>
      <x:c r="J106" s="34" t="n">
        <x:v>14</x:v>
      </x:c>
      <x:c r="K106" s="26" t="str">
        <x:v>Crafting, quests, gear upgrades</x:v>
      </x:c>
      <x:c r="L106" s="26" t="str">
        <x:v>Crafting/Combat</x:v>
      </x:c>
    </x:row>
    <x:row r="107" ht="15" hidden="0" customHeight="1">
      <x:c r="A107" s="26" t="str">
        <x:v>frog_legs</x:v>
      </x:c>
      <x:c r="B107" s="26" t="str">
        <x:v>Frog Legs</x:v>
      </x:c>
      <x:c r="C107" s="26" t="str">
        <x:v>Monster Material/Unique</x:v>
      </x:c>
      <x:c r="D107" s="26" t="n">
        <x:v>1</x:v>
      </x:c>
      <x:c r="E107" s="32" t="b">
        <x:v>1</x:v>
      </x:c>
      <x:c r="F107" s="26" t="str">
        <x:v>Monster drops</x:v>
      </x:c>
      <x:c r="G107" s="26" t="str">
        <x:v>Varies</x:v>
      </x:c>
      <x:c r="H107" s="26" t="str"/>
      <x:c r="I107" s="26" t="str">
        <x:v>Craft/quest component</x:v>
      </x:c>
      <x:c r="J107" s="34" t="n">
        <x:v>10</x:v>
      </x:c>
      <x:c r="K107" s="26" t="str">
        <x:v>Crafting, quests, gear upgrades</x:v>
      </x:c>
      <x:c r="L107" s="26" t="str">
        <x:v>Crafting/Combat</x:v>
      </x:c>
    </x:row>
    <x:row r="108" ht="15" hidden="0" customHeight="1">
      <x:c r="A108" s="26" t="str">
        <x:v>diseased_hide</x:v>
      </x:c>
      <x:c r="B108" s="26" t="str">
        <x:v>Diseased Hide</x:v>
      </x:c>
      <x:c r="C108" s="26" t="str">
        <x:v>Monster Material/Unique</x:v>
      </x:c>
      <x:c r="D108" s="26" t="n">
        <x:v>1</x:v>
      </x:c>
      <x:c r="E108" s="32" t="b">
        <x:v>1</x:v>
      </x:c>
      <x:c r="F108" s="26" t="str">
        <x:v>Monster drops</x:v>
      </x:c>
      <x:c r="G108" s="26" t="str">
        <x:v>Varies</x:v>
      </x:c>
      <x:c r="H108" s="26" t="str"/>
      <x:c r="I108" s="26" t="str">
        <x:v>Craft/quest component</x:v>
      </x:c>
      <x:c r="J108" s="34" t="n">
        <x:v>22</x:v>
      </x:c>
      <x:c r="K108" s="26" t="str">
        <x:v>Crafting, quests, gear upgrades</x:v>
      </x:c>
      <x:c r="L108" s="26" t="str">
        <x:v>Crafting/Combat</x:v>
      </x:c>
    </x:row>
    <x:row r="109" ht="15" hidden="0" customHeight="1">
      <x:c r="A109" s="26" t="str">
        <x:v>snapper_shell</x:v>
      </x:c>
      <x:c r="B109" s="26" t="str">
        <x:v>Snapper Shell</x:v>
      </x:c>
      <x:c r="C109" s="26" t="str">
        <x:v>Monster Material/Unique</x:v>
      </x:c>
      <x:c r="D109" s="26" t="n">
        <x:v>1</x:v>
      </x:c>
      <x:c r="E109" s="32" t="b">
        <x:v>1</x:v>
      </x:c>
      <x:c r="F109" s="26" t="str">
        <x:v>Monster drops</x:v>
      </x:c>
      <x:c r="G109" s="26" t="str">
        <x:v>Varies</x:v>
      </x:c>
      <x:c r="H109" s="26" t="str"/>
      <x:c r="I109" s="26" t="str">
        <x:v>Craft/quest component</x:v>
      </x:c>
      <x:c r="J109" s="34" t="n">
        <x:v>50</x:v>
      </x:c>
      <x:c r="K109" s="26" t="str">
        <x:v>Crafting, quests, gear upgrades</x:v>
      </x:c>
      <x:c r="L109" s="26" t="str">
        <x:v>Crafting/Combat</x:v>
      </x:c>
    </x:row>
    <x:row r="110" ht="15" hidden="0" customHeight="1">
      <x:c r="A110" s="26" t="str">
        <x:v>heavy_shell</x:v>
      </x:c>
      <x:c r="B110" s="26" t="str">
        <x:v>Heavy Shell</x:v>
      </x:c>
      <x:c r="C110" s="26" t="str">
        <x:v>Monster Material/Unique</x:v>
      </x:c>
      <x:c r="D110" s="26" t="n">
        <x:v>1</x:v>
      </x:c>
      <x:c r="E110" s="32" t="b">
        <x:v>1</x:v>
      </x:c>
      <x:c r="F110" s="26" t="str">
        <x:v>Monster drops</x:v>
      </x:c>
      <x:c r="G110" s="26" t="str">
        <x:v>Varies</x:v>
      </x:c>
      <x:c r="H110" s="26" t="str"/>
      <x:c r="I110" s="26" t="str">
        <x:v>Craft/quest component</x:v>
      </x:c>
      <x:c r="J110" s="34" t="n">
        <x:v>95</x:v>
      </x:c>
      <x:c r="K110" s="26" t="str">
        <x:v>Crafting, quests, gear upgrades</x:v>
      </x:c>
      <x:c r="L110" s="26" t="str">
        <x:v>Crafting/Combat</x:v>
      </x:c>
    </x:row>
    <x:row r="111" ht="15" hidden="0" customHeight="1">
      <x:c r="A111" s="26" t="str">
        <x:v>water_herb</x:v>
      </x:c>
      <x:c r="B111" s="26" t="str">
        <x:v>Water Herb</x:v>
      </x:c>
      <x:c r="C111" s="26" t="str">
        <x:v>Monster Material/Unique</x:v>
      </x:c>
      <x:c r="D111" s="26" t="n">
        <x:v>1</x:v>
      </x:c>
      <x:c r="E111" s="32" t="b">
        <x:v>1</x:v>
      </x:c>
      <x:c r="F111" s="26" t="str">
        <x:v>Monster drops</x:v>
      </x:c>
      <x:c r="G111" s="26" t="str">
        <x:v>Varies</x:v>
      </x:c>
      <x:c r="H111" s="26" t="str"/>
      <x:c r="I111" s="26" t="str">
        <x:v>Craft/quest component</x:v>
      </x:c>
      <x:c r="J111" s="34" t="n">
        <x:v>30</x:v>
      </x:c>
      <x:c r="K111" s="26" t="str">
        <x:v>Crafting, quests, gear upgrades</x:v>
      </x:c>
      <x:c r="L111" s="26" t="str">
        <x:v>Crafting/Combat</x:v>
      </x:c>
    </x:row>
    <x:row r="112" ht="15" hidden="0" customHeight="1">
      <x:c r="A112" s="26" t="str">
        <x:v>stone_chunk</x:v>
      </x:c>
      <x:c r="B112" s="26" t="str">
        <x:v>Stone Chunk</x:v>
      </x:c>
      <x:c r="C112" s="26" t="str">
        <x:v>Monster Material/Unique</x:v>
      </x:c>
      <x:c r="D112" s="26" t="n">
        <x:v>1</x:v>
      </x:c>
      <x:c r="E112" s="32" t="b">
        <x:v>1</x:v>
      </x:c>
      <x:c r="F112" s="26" t="str">
        <x:v>Monster drops</x:v>
      </x:c>
      <x:c r="G112" s="26" t="str">
        <x:v>Varies</x:v>
      </x:c>
      <x:c r="H112" s="26" t="str"/>
      <x:c r="I112" s="26" t="str">
        <x:v>Craft/quest component</x:v>
      </x:c>
      <x:c r="J112" s="34" t="n">
        <x:v>5</x:v>
      </x:c>
      <x:c r="K112" s="26" t="str">
        <x:v>Crafting, quests, gear upgrades</x:v>
      </x:c>
      <x:c r="L112" s="26" t="str">
        <x:v>Crafting/Combat</x:v>
      </x:c>
    </x:row>
    <x:row r="113" ht="15" hidden="0" customHeight="1">
      <x:c r="A113" s="26" t="str">
        <x:v>crab_meat</x:v>
      </x:c>
      <x:c r="B113" s="26" t="str">
        <x:v>Crab Meat</x:v>
      </x:c>
      <x:c r="C113" s="26" t="str">
        <x:v>Monster Material/Unique</x:v>
      </x:c>
      <x:c r="D113" s="26" t="n">
        <x:v>1</x:v>
      </x:c>
      <x:c r="E113" s="32" t="b">
        <x:v>1</x:v>
      </x:c>
      <x:c r="F113" s="26" t="str">
        <x:v>Monster drops</x:v>
      </x:c>
      <x:c r="G113" s="26" t="str">
        <x:v>Varies</x:v>
      </x:c>
      <x:c r="H113" s="26" t="str"/>
      <x:c r="I113" s="26" t="str">
        <x:v>Craft/quest component</x:v>
      </x:c>
      <x:c r="J113" s="34" t="n">
        <x:v>18</x:v>
      </x:c>
      <x:c r="K113" s="26" t="str">
        <x:v>Crafting, quests, gear upgrades</x:v>
      </x:c>
      <x:c r="L113" s="26" t="str">
        <x:v>Crafting/Combat</x:v>
      </x:c>
    </x:row>
    <x:row r="114" ht="15" hidden="0" customHeight="1">
      <x:c r="A114" s="26" t="str">
        <x:v>pickaxe_head</x:v>
      </x:c>
      <x:c r="B114" s="26" t="str">
        <x:v>Pickaxe Head</x:v>
      </x:c>
      <x:c r="C114" s="26" t="str">
        <x:v>Monster Material/Unique</x:v>
      </x:c>
      <x:c r="D114" s="26" t="n">
        <x:v>1</x:v>
      </x:c>
      <x:c r="E114" s="32" t="b">
        <x:v>1</x:v>
      </x:c>
      <x:c r="F114" s="26" t="str">
        <x:v>Monster drops</x:v>
      </x:c>
      <x:c r="G114" s="26" t="str">
        <x:v>Varies</x:v>
      </x:c>
      <x:c r="H114" s="26" t="str"/>
      <x:c r="I114" s="26" t="str">
        <x:v>Craft/quest component</x:v>
      </x:c>
      <x:c r="J114" s="34" t="n">
        <x:v>55</x:v>
      </x:c>
      <x:c r="K114" s="26" t="str">
        <x:v>Crafting, quests, gear upgrades</x:v>
      </x:c>
      <x:c r="L114" s="26" t="str">
        <x:v>Crafting/Combat</x:v>
      </x:c>
    </x:row>
    <x:row r="115" ht="15" hidden="0" customHeight="1">
      <x:c r="A115" s="26" t="str">
        <x:v>swamp_herb_bundle</x:v>
      </x:c>
      <x:c r="B115" s="26" t="str">
        <x:v>Swamp Herb Bundle</x:v>
      </x:c>
      <x:c r="C115" s="26" t="str">
        <x:v>Monster Material/Unique</x:v>
      </x:c>
      <x:c r="D115" s="26" t="n">
        <x:v>1</x:v>
      </x:c>
      <x:c r="E115" s="32" t="b">
        <x:v>1</x:v>
      </x:c>
      <x:c r="F115" s="26" t="str">
        <x:v>Monster drops</x:v>
      </x:c>
      <x:c r="G115" s="26" t="str">
        <x:v>Varies</x:v>
      </x:c>
      <x:c r="H115" s="26" t="str"/>
      <x:c r="I115" s="26" t="str">
        <x:v>Craft/quest component</x:v>
      </x:c>
      <x:c r="J115" s="34" t="n">
        <x:v>180</x:v>
      </x:c>
      <x:c r="K115" s="26" t="str">
        <x:v>Crafting, quests, gear upgrades</x:v>
      </x:c>
      <x:c r="L115" s="26" t="str">
        <x:v>Crafting/Combat</x:v>
      </x:c>
    </x:row>
    <x:row r="116" ht="15" hidden="0" customHeight="1">
      <x:c r="A116" s="26" t="str">
        <x:v>bowstring</x:v>
      </x:c>
      <x:c r="B116" s="26" t="str">
        <x:v>Bowstring</x:v>
      </x:c>
      <x:c r="C116" s="26" t="str">
        <x:v>Monster Material/Unique</x:v>
      </x:c>
      <x:c r="D116" s="26" t="n">
        <x:v>1</x:v>
      </x:c>
      <x:c r="E116" s="32" t="b">
        <x:v>1</x:v>
      </x:c>
      <x:c r="F116" s="26" t="str">
        <x:v>Monster drops</x:v>
      </x:c>
      <x:c r="G116" s="26" t="str">
        <x:v>Varies</x:v>
      </x:c>
      <x:c r="H116" s="26" t="str"/>
      <x:c r="I116" s="26" t="str">
        <x:v>Craft/quest component</x:v>
      </x:c>
      <x:c r="J116" s="34" t="n">
        <x:v>25</x:v>
      </x:c>
      <x:c r="K116" s="26" t="str">
        <x:v>Crafting, quests, gear upgrades</x:v>
      </x:c>
      <x:c r="L116" s="26" t="str">
        <x:v>Crafting/Combat</x:v>
      </x:c>
    </x:row>
    <x:row r="117" ht="15" hidden="0" customHeight="1">
      <x:c r="A117" s="26" t="str">
        <x:v>clay_bowl</x:v>
      </x:c>
      <x:c r="B117" s="26" t="str">
        <x:v>Clay Bowl</x:v>
      </x:c>
      <x:c r="C117" s="26" t="str">
        <x:v>Monster Material/Unique</x:v>
      </x:c>
      <x:c r="D117" s="26" t="n">
        <x:v>1</x:v>
      </x:c>
      <x:c r="E117" s="32" t="b">
        <x:v>1</x:v>
      </x:c>
      <x:c r="F117" s="26" t="str">
        <x:v>Monster drops</x:v>
      </x:c>
      <x:c r="G117" s="26" t="str">
        <x:v>Varies</x:v>
      </x:c>
      <x:c r="H117" s="26" t="str"/>
      <x:c r="I117" s="26" t="str">
        <x:v>Craft/quest component</x:v>
      </x:c>
      <x:c r="J117" s="34" t="n">
        <x:v>8</x:v>
      </x:c>
      <x:c r="K117" s="26" t="str">
        <x:v>Crafting, quests, gear upgrades</x:v>
      </x:c>
      <x:c r="L117" s="26" t="str">
        <x:v>Crafting/Combat</x:v>
      </x:c>
    </x:row>
    <x:row r="118" ht="15" hidden="0" customHeight="1">
      <x:c r="A118" s="26" t="str">
        <x:v>amulet_cord</x:v>
      </x:c>
      <x:c r="B118" s="26" t="str">
        <x:v>Amulet Cord</x:v>
      </x:c>
      <x:c r="C118" s="26" t="str">
        <x:v>Monster Material/Unique</x:v>
      </x:c>
      <x:c r="D118" s="26" t="n">
        <x:v>1</x:v>
      </x:c>
      <x:c r="E118" s="32" t="b">
        <x:v>1</x:v>
      </x:c>
      <x:c r="F118" s="26" t="str">
        <x:v>Monster drops</x:v>
      </x:c>
      <x:c r="G118" s="26" t="str">
        <x:v>Varies</x:v>
      </x:c>
      <x:c r="H118" s="26" t="str"/>
      <x:c r="I118" s="26" t="str">
        <x:v>Craft/quest component</x:v>
      </x:c>
      <x:c r="J118" s="34" t="n">
        <x:v>15</x:v>
      </x:c>
      <x:c r="K118" s="26" t="str">
        <x:v>Crafting, quests, gear upgrades</x:v>
      </x:c>
      <x:c r="L118" s="26" t="str">
        <x:v>Crafting/Combat</x:v>
      </x:c>
    </x:row>
    <x:row r="119" ht="15" hidden="0" customHeight="1">
      <x:c r="A119" s="26" t="str">
        <x:v>iron_nails</x:v>
      </x:c>
      <x:c r="B119" s="26" t="str">
        <x:v>Iron Nails</x:v>
      </x:c>
      <x:c r="C119" s="26" t="str">
        <x:v>Monster Material/Unique</x:v>
      </x:c>
      <x:c r="D119" s="26" t="n">
        <x:v>1</x:v>
      </x:c>
      <x:c r="E119" s="32" t="b">
        <x:v>1</x:v>
      </x:c>
      <x:c r="F119" s="26" t="str">
        <x:v>Monster drops</x:v>
      </x:c>
      <x:c r="G119" s="26" t="str">
        <x:v>Varies</x:v>
      </x:c>
      <x:c r="H119" s="26" t="str"/>
      <x:c r="I119" s="26" t="str">
        <x:v>Craft/quest component</x:v>
      </x:c>
      <x:c r="J119" s="34" t="n">
        <x:v>2</x:v>
      </x:c>
      <x:c r="K119" s="26" t="str">
        <x:v>Crafting, quests, gear upgrades</x:v>
      </x:c>
      <x:c r="L119" s="26" t="str">
        <x:v>Crafting/Combat</x:v>
      </x:c>
    </x:row>
    <x:row r="120" ht="15" hidden="0" customHeight="1">
      <x:c r="A120" s="26" t="str">
        <x:v>reinforced_bag</x:v>
      </x:c>
      <x:c r="B120" s="26" t="str">
        <x:v>Reinforced Bag</x:v>
      </x:c>
      <x:c r="C120" s="26" t="str">
        <x:v>Monster Material/Unique</x:v>
      </x:c>
      <x:c r="D120" s="26" t="n">
        <x:v>1</x:v>
      </x:c>
      <x:c r="E120" s="32" t="b">
        <x:v>1</x:v>
      </x:c>
      <x:c r="F120" s="26" t="str">
        <x:v>Monster drops</x:v>
      </x:c>
      <x:c r="G120" s="26" t="str">
        <x:v>Varies</x:v>
      </x:c>
      <x:c r="H120" s="26" t="str"/>
      <x:c r="I120" s="26" t="str">
        <x:v>Craft/quest component</x:v>
      </x:c>
      <x:c r="J120" s="34" t="n">
        <x:v>350</x:v>
      </x:c>
      <x:c r="K120" s="26" t="str">
        <x:v>Crafting, quests, gear upgrades</x:v>
      </x:c>
      <x:c r="L120" s="26" t="str">
        <x:v>Crafting/Combat</x:v>
      </x:c>
    </x:row>
    <x:row r="121" ht="15" hidden="0" customHeight="1">
      <x:c r="A121" s="26" t="str">
        <x:v>boar_tusk_spear_tip</x:v>
      </x:c>
      <x:c r="B121" s="26" t="str">
        <x:v>Boar Tusk Spear Tip</x:v>
      </x:c>
      <x:c r="C121" s="26" t="str">
        <x:v>Monster Material/Unique</x:v>
      </x:c>
      <x:c r="D121" s="26" t="n">
        <x:v>1</x:v>
      </x:c>
      <x:c r="E121" s="32" t="b">
        <x:v>1</x:v>
      </x:c>
      <x:c r="F121" s="26" t="str">
        <x:v>Monster drops</x:v>
      </x:c>
      <x:c r="G121" s="26" t="str">
        <x:v>Varies</x:v>
      </x:c>
      <x:c r="H121" s="26" t="str"/>
      <x:c r="I121" s="26" t="str">
        <x:v>Craft/quest component</x:v>
      </x:c>
      <x:c r="J121" s="34" t="n">
        <x:v>120</x:v>
      </x:c>
      <x:c r="K121" s="26" t="str">
        <x:v>Crafting, quests, gear upgrades</x:v>
      </x:c>
      <x:c r="L121" s="26" t="str">
        <x:v>Crafting/Combat</x:v>
      </x:c>
    </x:row>
    <x:row r="122" ht="15" hidden="0" customHeight="1">
      <x:c r="A122" s="26" t="str">
        <x:v>slime_core</x:v>
      </x:c>
      <x:c r="B122" s="26" t="str">
        <x:v>Slime Core</x:v>
      </x:c>
      <x:c r="C122" s="26" t="str">
        <x:v>Monster Material/Unique</x:v>
      </x:c>
      <x:c r="D122" s="26" t="n">
        <x:v>1</x:v>
      </x:c>
      <x:c r="E122" s="32" t="b">
        <x:v>1</x:v>
      </x:c>
      <x:c r="F122" s="26" t="str">
        <x:v>Monster drops</x:v>
      </x:c>
      <x:c r="G122" s="26" t="str">
        <x:v>Varies</x:v>
      </x:c>
      <x:c r="H122" s="26" t="str"/>
      <x:c r="I122" s="26" t="str">
        <x:v>Craft/quest component</x:v>
      </x:c>
      <x:c r="J122" s="34" t="n">
        <x:v>250</x:v>
      </x:c>
      <x:c r="K122" s="26" t="str">
        <x:v>Crafting, quests, gear upgrades</x:v>
      </x:c>
      <x:c r="L122" s="26" t="str">
        <x:v>Crafting/Combat</x:v>
      </x:c>
    </x:row>
    <x:row r="123" ht="15" hidden="0" customHeight="1">
      <x:c r="A123" s="26" t="str">
        <x:v>rival_blade_fragment</x:v>
      </x:c>
      <x:c r="B123" s="26" t="str">
        <x:v>Rival Blade Fragment</x:v>
      </x:c>
      <x:c r="C123" s="26" t="str">
        <x:v>Monster Material/Unique</x:v>
      </x:c>
      <x:c r="D123" s="26" t="n">
        <x:v>1</x:v>
      </x:c>
      <x:c r="E123" s="32" t="b">
        <x:v>1</x:v>
      </x:c>
      <x:c r="F123" s="26" t="str">
        <x:v>Monster drops</x:v>
      </x:c>
      <x:c r="G123" s="26" t="str">
        <x:v>Varies</x:v>
      </x:c>
      <x:c r="H123" s="26" t="str"/>
      <x:c r="I123" s="26" t="str">
        <x:v>Craft/quest component</x:v>
      </x:c>
      <x:c r="J123" s="34" t="n">
        <x:v>300</x:v>
      </x:c>
      <x:c r="K123" s="26" t="str">
        <x:v>Crafting, quests, gear upgrades</x:v>
      </x:c>
      <x:c r="L123" s="26" t="str">
        <x:v>Crafting/Combat</x:v>
      </x:c>
    </x:row>
    <x:row r="124" ht="15" hidden="0" customHeight="1">
      <x:c r="A124" s="26" t="str">
        <x:v>crawler_claw</x:v>
      </x:c>
      <x:c r="B124" s="26" t="str">
        <x:v>Crawler Claw</x:v>
      </x:c>
      <x:c r="C124" s="26" t="str">
        <x:v>Monster Material/Unique</x:v>
      </x:c>
      <x:c r="D124" s="26" t="n">
        <x:v>1</x:v>
      </x:c>
      <x:c r="E124" s="32" t="b">
        <x:v>1</x:v>
      </x:c>
      <x:c r="F124" s="26" t="str">
        <x:v>Monster drops</x:v>
      </x:c>
      <x:c r="G124" s="26" t="str">
        <x:v>Varies</x:v>
      </x:c>
      <x:c r="H124" s="26" t="str"/>
      <x:c r="I124" s="26" t="str">
        <x:v>Craft/quest component</x:v>
      </x:c>
      <x:c r="J124" s="34" t="n">
        <x:v>220</x:v>
      </x:c>
      <x:c r="K124" s="26" t="str">
        <x:v>Crafting, quests, gear upgrades</x:v>
      </x:c>
      <x:c r="L124" s="26" t="str">
        <x:v>Crafting/Combat</x:v>
      </x:c>
    </x:row>
    <x:row r="125" ht="15" hidden="0" customHeight="1">
      <x:c r="A125" s="26" t="str">
        <x:v>black_crab_core</x:v>
      </x:c>
      <x:c r="B125" s="26" t="str">
        <x:v>Black Crab Core</x:v>
      </x:c>
      <x:c r="C125" s="26" t="str">
        <x:v>Monster Material/Unique</x:v>
      </x:c>
      <x:c r="D125" s="26" t="n">
        <x:v>1</x:v>
      </x:c>
      <x:c r="E125" s="32" t="b">
        <x:v>1</x:v>
      </x:c>
      <x:c r="F125" s="26" t="str">
        <x:v>Monster drops</x:v>
      </x:c>
      <x:c r="G125" s="26" t="str">
        <x:v>Varies</x:v>
      </x:c>
      <x:c r="H125" s="26" t="str"/>
      <x:c r="I125" s="26" t="str">
        <x:v>Craft/quest component</x:v>
      </x:c>
      <x:c r="J125" s="34" t="n">
        <x:v>450</x:v>
      </x:c>
      <x:c r="K125" s="26" t="str">
        <x:v>Crafting, quests, gear upgrades</x:v>
      </x:c>
      <x:c r="L125" s="26" t="str">
        <x:v>Crafting/Combat</x:v>
      </x:c>
    </x:row>
    <x:row r="126" ht="15" hidden="0" customHeight="1">
      <x:c r="A126" s="26" t="str">
        <x:v>shaman_totem</x:v>
      </x:c>
      <x:c r="B126" s="26" t="str">
        <x:v>Shaman Totem</x:v>
      </x:c>
      <x:c r="C126" s="26" t="str">
        <x:v>Monster Material/Unique</x:v>
      </x:c>
      <x:c r="D126" s="26" t="n">
        <x:v>1</x:v>
      </x:c>
      <x:c r="E126" s="32" t="b">
        <x:v>1</x:v>
      </x:c>
      <x:c r="F126" s="26" t="str">
        <x:v>Monster drops</x:v>
      </x:c>
      <x:c r="G126" s="26" t="str">
        <x:v>Varies</x:v>
      </x:c>
      <x:c r="H126" s="26" t="str"/>
      <x:c r="I126" s="26" t="str">
        <x:v>Craft/quest component</x:v>
      </x:c>
      <x:c r="J126" s="34" t="n">
        <x:v>500</x:v>
      </x:c>
      <x:c r="K126" s="26" t="str">
        <x:v>Crafting, quests, gear upgrades</x:v>
      </x:c>
      <x:c r="L126" s="26" t="str">
        <x:v>Crafting/Combat</x:v>
      </x:c>
    </x:row>
    <x:row r="127" ht="15" hidden="0" customHeight="1">
      <x:c r="A127" s="26" t="str">
        <x:v>brute_club_head</x:v>
      </x:c>
      <x:c r="B127" s="26" t="str">
        <x:v>Brute Club Head</x:v>
      </x:c>
      <x:c r="C127" s="26" t="str">
        <x:v>Monster Material/Unique</x:v>
      </x:c>
      <x:c r="D127" s="26" t="n">
        <x:v>1</x:v>
      </x:c>
      <x:c r="E127" s="32" t="b">
        <x:v>1</x:v>
      </x:c>
      <x:c r="F127" s="26" t="str">
        <x:v>Monster drops</x:v>
      </x:c>
      <x:c r="G127" s="26" t="str">
        <x:v>Varies</x:v>
      </x:c>
      <x:c r="H127" s="26" t="str"/>
      <x:c r="I127" s="26" t="str">
        <x:v>Craft/quest component</x:v>
      </x:c>
      <x:c r="J127" s="34" t="n">
        <x:v>380</x:v>
      </x:c>
      <x:c r="K127" s="26" t="str">
        <x:v>Crafting, quests, gear upgrades</x:v>
      </x:c>
      <x:c r="L127" s="26" t="str">
        <x:v>Crafting/Combat</x:v>
      </x:c>
    </x:row>
    <x:row r="128" ht="15" hidden="0" customHeight="1">
      <x:c r="A128" s="26" t="str">
        <x:v>troll_tooth</x:v>
      </x:c>
      <x:c r="B128" s="26" t="str">
        <x:v>Troll Tooth</x:v>
      </x:c>
      <x:c r="C128" s="26" t="str">
        <x:v>Monster Material/Unique</x:v>
      </x:c>
      <x:c r="D128" s="26" t="n">
        <x:v>1</x:v>
      </x:c>
      <x:c r="E128" s="32" t="b">
        <x:v>1</x:v>
      </x:c>
      <x:c r="F128" s="26" t="str">
        <x:v>Monster drops</x:v>
      </x:c>
      <x:c r="G128" s="26" t="str">
        <x:v>Varies</x:v>
      </x:c>
      <x:c r="H128" s="26" t="str"/>
      <x:c r="I128" s="26" t="str">
        <x:v>Craft/quest component</x:v>
      </x:c>
      <x:c r="J128" s="34" t="n">
        <x:v>260</x:v>
      </x:c>
      <x:c r="K128" s="26" t="str">
        <x:v>Crafting, quests, gear upgrades</x:v>
      </x:c>
      <x:c r="L128" s="26" t="str">
        <x:v>Crafting/Combat</x:v>
      </x:c>
    </x:row>
    <x:row r="129" ht="15" hidden="0" customHeight="1">
      <x:c r="A129" s="26" t="str">
        <x:v>captains_banner</x:v>
      </x:c>
      <x:c r="B129" s="26" t="str">
        <x:v>Captain Banner</x:v>
      </x:c>
      <x:c r="C129" s="26" t="str">
        <x:v>Monster Material/Unique</x:v>
      </x:c>
      <x:c r="D129" s="26" t="n">
        <x:v>1</x:v>
      </x:c>
      <x:c r="E129" s="32" t="b">
        <x:v>1</x:v>
      </x:c>
      <x:c r="F129" s="26" t="str">
        <x:v>Monster drops</x:v>
      </x:c>
      <x:c r="G129" s="26" t="str">
        <x:v>Varies</x:v>
      </x:c>
      <x:c r="H129" s="26" t="str"/>
      <x:c r="I129" s="26" t="str">
        <x:v>Craft/quest component</x:v>
      </x:c>
      <x:c r="J129" s="34" t="n">
        <x:v>750</x:v>
      </x:c>
      <x:c r="K129" s="26" t="str">
        <x:v>Crafting, quests, gear upgrades</x:v>
      </x:c>
      <x:c r="L129" s="26" t="str">
        <x:v>Crafting/Combat</x:v>
      </x:c>
    </x:row>
    <x:row r="130" ht="15" hidden="0" customHeight="1">
      <x:c r="A130" s="26" t="str">
        <x:v>red_ear_spear_tip</x:v>
      </x:c>
      <x:c r="B130" s="26" t="str">
        <x:v>Red-Ear Spear Tip</x:v>
      </x:c>
      <x:c r="C130" s="26" t="str">
        <x:v>Monster Material/Unique</x:v>
      </x:c>
      <x:c r="D130" s="26" t="n">
        <x:v>1</x:v>
      </x:c>
      <x:c r="E130" s="32" t="b">
        <x:v>1</x:v>
      </x:c>
      <x:c r="F130" s="26" t="str">
        <x:v>Monster drops</x:v>
      </x:c>
      <x:c r="G130" s="26" t="str">
        <x:v>Varies</x:v>
      </x:c>
      <x:c r="H130" s="26" t="str"/>
      <x:c r="I130" s="26" t="str">
        <x:v>Craft/quest component</x:v>
      </x:c>
      <x:c r="J130" s="34" t="n">
        <x:v>1000</x:v>
      </x:c>
      <x:c r="K130" s="26" t="str">
        <x:v>Crafting, quests, gear upgrades</x:v>
      </x:c>
      <x:c r="L130" s="26" t="str">
        <x:v>Crafting/Combat</x:v>
      </x:c>
    </x:row>
    <x:row r="131" ht="15" hidden="0" customHeight="1">
      <x:c r="A131" s="26" t="str">
        <x:v>mountain_key_fragment</x:v>
      </x:c>
      <x:c r="B131" s="26" t="str">
        <x:v>Mountain Key Fragment</x:v>
      </x:c>
      <x:c r="C131" s="26" t="str">
        <x:v>Monster Material/Unique</x:v>
      </x:c>
      <x:c r="D131" s="26" t="n">
        <x:v>1</x:v>
      </x:c>
      <x:c r="E131" s="32" t="b">
        <x:v>1</x:v>
      </x:c>
      <x:c r="F131" s="26" t="str">
        <x:v>Monster drops</x:v>
      </x:c>
      <x:c r="G131" s="26" t="str">
        <x:v>Varies</x:v>
      </x:c>
      <x:c r="H131" s="26" t="str"/>
      <x:c r="I131" s="26" t="str">
        <x:v>Craft/quest component</x:v>
      </x:c>
      <x:c r="J131" s="34" t="n">
        <x:v>900</x:v>
      </x:c>
      <x:c r="K131" s="26" t="str">
        <x:v>Crafting, quests, gear upgrades</x:v>
      </x:c>
      <x:c r="L131" s="26" t="str">
        <x:v>Crafting/Combat</x:v>
      </x:c>
    </x:row>
    <x:row r="132" ht="15" hidden="0" customHeight="1">
      <x:c r="A132" s="26" t="str">
        <x:v>horror_heart</x:v>
      </x:c>
      <x:c r="B132" s="26" t="str">
        <x:v>Horror Heart</x:v>
      </x:c>
      <x:c r="C132" s="26" t="str">
        <x:v>Monster Material/Unique</x:v>
      </x:c>
      <x:c r="D132" s="26" t="n">
        <x:v>1</x:v>
      </x:c>
      <x:c r="E132" s="32" t="b">
        <x:v>1</x:v>
      </x:c>
      <x:c r="F132" s="26" t="str">
        <x:v>Monster drops</x:v>
      </x:c>
      <x:c r="G132" s="26" t="str">
        <x:v>Varies</x:v>
      </x:c>
      <x:c r="H132" s="26" t="str"/>
      <x:c r="I132" s="26" t="str">
        <x:v>Craft/quest component</x:v>
      </x:c>
      <x:c r="J132" s="34" t="n">
        <x:v>1600</x:v>
      </x:c>
      <x:c r="K132" s="26" t="str">
        <x:v>Crafting, quests, gear upgrades</x:v>
      </x:c>
      <x:c r="L132" s="26" t="str">
        <x:v>Crafting/Combat</x:v>
      </x:c>
    </x:row>
    <x:row r="133" ht="15" hidden="0" customHeight="1">
      <x:c r="A133" s="26" t="str">
        <x:v>bog_crown</x:v>
      </x:c>
      <x:c r="B133" s="26" t="str">
        <x:v>Bog Crown</x:v>
      </x:c>
      <x:c r="C133" s="26" t="str">
        <x:v>Monster Material/Unique</x:v>
      </x:c>
      <x:c r="D133" s="26" t="n">
        <x:v>1</x:v>
      </x:c>
      <x:c r="E133" s="32" t="b">
        <x:v>1</x:v>
      </x:c>
      <x:c r="F133" s="26" t="str">
        <x:v>Monster drops</x:v>
      </x:c>
      <x:c r="G133" s="26" t="str">
        <x:v>Varies</x:v>
      </x:c>
      <x:c r="H133" s="26" t="str"/>
      <x:c r="I133" s="26" t="str">
        <x:v>Craft/quest component</x:v>
      </x:c>
      <x:c r="J133" s="34" t="n">
        <x:v>5000</x:v>
      </x:c>
      <x:c r="K133" s="26" t="str">
        <x:v>Crafting, quests, gear upgrades</x:v>
      </x:c>
      <x:c r="L133" s="26" t="str">
        <x:v>Crafting/Combat</x:v>
      </x:c>
    </x:row>
    <x:row r="134" ht="15" hidden="0" customHeight="1">
      <x:c r="A134" s="26" t="str">
        <x:v>rat_tooth_charm</x:v>
      </x:c>
      <x:c r="B134" s="26" t="str">
        <x:v>Rat Tooth Charm</x:v>
      </x:c>
      <x:c r="C134" s="26" t="str">
        <x:v>Drop/Placeholder</x:v>
      </x:c>
      <x:c r="D134" s="26" t="n">
        <x:v>1</x:v>
      </x:c>
      <x:c r="E134" s="32" t="b">
        <x:v>1</x:v>
      </x:c>
      <x:c r="F134" s="26" t="str">
        <x:v>Drop table</x:v>
      </x:c>
      <x:c r="G134" s="26" t="str">
        <x:v>Varies</x:v>
      </x:c>
      <x:c r="H134" s="26" t="str"/>
      <x:c r="I134" s="26" t="str">
        <x:v>Unique</x:v>
      </x:c>
      <x:c r="J134" s="34" t="n">
        <x:v>2</x:v>
      </x:c>
      <x:c r="K134" s="26" t="str">
        <x:v>Future recipe/quest hook</x:v>
      </x:c>
      <x:c r="L134" s="26" t="str">
        <x:v>Unique</x:v>
      </x:c>
    </x:row>
    <x:row r="135" ht="15" hidden="0" customHeight="1">
      <x:c r="A135" s="26" t="str">
        <x:v>bug_eye_ring</x:v>
      </x:c>
      <x:c r="B135" s="26" t="str">
        <x:v>Bug Eye Ring</x:v>
      </x:c>
      <x:c r="C135" s="26" t="str">
        <x:v>Drop/Placeholder</x:v>
      </x:c>
      <x:c r="D135" s="26" t="n">
        <x:v>1</x:v>
      </x:c>
      <x:c r="E135" s="32" t="b">
        <x:v>1</x:v>
      </x:c>
      <x:c r="F135" s="26" t="str">
        <x:v>Drop table</x:v>
      </x:c>
      <x:c r="G135" s="26" t="str">
        <x:v>Varies</x:v>
      </x:c>
      <x:c r="H135" s="26" t="str"/>
      <x:c r="I135" s="26" t="str">
        <x:v>Unique</x:v>
      </x:c>
      <x:c r="J135" s="34" t="n">
        <x:v>2</x:v>
      </x:c>
      <x:c r="K135" s="26" t="str">
        <x:v>Future recipe/quest hook</x:v>
      </x:c>
      <x:c r="L135" s="26" t="str">
        <x:v>Unique</x:v>
      </x:c>
    </x:row>
    <x:row r="136" ht="15" hidden="0" customHeight="1">
      <x:c r="A136" s="26" t="str">
        <x:v>fishing_bait</x:v>
      </x:c>
      <x:c r="B136" s="26" t="str">
        <x:v>Fishing Bait</x:v>
      </x:c>
      <x:c r="C136" s="26" t="str">
        <x:v>Drop/Placeholder</x:v>
      </x:c>
      <x:c r="D136" s="26" t="n">
        <x:v>1</x:v>
      </x:c>
      <x:c r="E136" s="32" t="b">
        <x:v>1</x:v>
      </x:c>
      <x:c r="F136" s="26" t="str">
        <x:v>Drop table</x:v>
      </x:c>
      <x:c r="G136" s="26" t="str">
        <x:v>Varies</x:v>
      </x:c>
      <x:c r="H136" s="26" t="str"/>
      <x:c r="I136" s="26" t="str">
        <x:v>Fishing</x:v>
      </x:c>
      <x:c r="J136" s="34" t="n">
        <x:v>50</x:v>
      </x:c>
      <x:c r="K136" s="26" t="str">
        <x:v>Future recipe/quest hook</x:v>
      </x:c>
      <x:c r="L136" s="26" t="str">
        <x:v>Fishing</x:v>
      </x:c>
    </x:row>
    <x:row r="137" ht="15" hidden="0" customHeight="1">
      <x:c r="A137" s="26" t="str">
        <x:v>mud_grub_pet</x:v>
      </x:c>
      <x:c r="B137" s="26" t="str">
        <x:v>Mud Grub Pet</x:v>
      </x:c>
      <x:c r="C137" s="26" t="str">
        <x:v>Drop/Placeholder</x:v>
      </x:c>
      <x:c r="D137" s="26" t="n">
        <x:v>1</x:v>
      </x:c>
      <x:c r="E137" s="32" t="b">
        <x:v>1</x:v>
      </x:c>
      <x:c r="F137" s="26" t="str">
        <x:v>Drop table</x:v>
      </x:c>
      <x:c r="G137" s="26" t="str">
        <x:v>Varies</x:v>
      </x:c>
      <x:c r="H137" s="26" t="str"/>
      <x:c r="I137" s="26" t="str">
        <x:v>Cosmetic</x:v>
      </x:c>
      <x:c r="J137" s="34" t="n">
        <x:v>1</x:v>
      </x:c>
      <x:c r="K137" s="26" t="str">
        <x:v>Future recipe/quest hook</x:v>
      </x:c>
      <x:c r="L137" s="26" t="str">
        <x:v>Cosmetic</x:v>
      </x:c>
    </x:row>
    <x:row r="138" ht="15" hidden="0" customHeight="1">
      <x:c r="A138" s="26" t="str">
        <x:v>torn_cloth</x:v>
      </x:c>
      <x:c r="B138" s="26" t="str">
        <x:v>Torn Cloth</x:v>
      </x:c>
      <x:c r="C138" s="26" t="str">
        <x:v>Drop/Placeholder</x:v>
      </x:c>
      <x:c r="D138" s="26" t="n">
        <x:v>1</x:v>
      </x:c>
      <x:c r="E138" s="32" t="b">
        <x:v>1</x:v>
      </x:c>
      <x:c r="F138" s="26" t="str">
        <x:v>Drop table</x:v>
      </x:c>
      <x:c r="G138" s="26" t="str">
        <x:v>Varies</x:v>
      </x:c>
      <x:c r="H138" s="26" t="str"/>
      <x:c r="I138" s="26" t="str">
        <x:v>Crafting</x:v>
      </x:c>
      <x:c r="J138" s="34" t="n">
        <x:v>50</x:v>
      </x:c>
      <x:c r="K138" s="26" t="str">
        <x:v>Future recipe/quest hook</x:v>
      </x:c>
      <x:c r="L138" s="26" t="str">
        <x:v>Crafting</x:v>
      </x:c>
    </x:row>
    <x:row r="139" ht="15" hidden="0" customHeight="1">
      <x:c r="A139" s="26" t="str">
        <x:v>trainee_headband</x:v>
      </x:c>
      <x:c r="B139" s="26" t="str">
        <x:v>Trainee Headband</x:v>
      </x:c>
      <x:c r="C139" s="26" t="str">
        <x:v>Drop/Placeholder</x:v>
      </x:c>
      <x:c r="D139" s="26" t="n">
        <x:v>1</x:v>
      </x:c>
      <x:c r="E139" s="32" t="b">
        <x:v>1</x:v>
      </x:c>
      <x:c r="F139" s="26" t="str">
        <x:v>Drop table</x:v>
      </x:c>
      <x:c r="G139" s="26" t="str">
        <x:v>Varies</x:v>
      </x:c>
      <x:c r="H139" s="26" t="str"/>
      <x:c r="I139" s="26" t="str">
        <x:v>Unique</x:v>
      </x:c>
      <x:c r="J139" s="34" t="n">
        <x:v>4</x:v>
      </x:c>
      <x:c r="K139" s="26" t="str">
        <x:v>Future recipe/quest hook</x:v>
      </x:c>
      <x:c r="L139" s="26" t="str">
        <x:v>Unique</x:v>
      </x:c>
    </x:row>
    <x:row r="140" ht="15" hidden="0" customHeight="1">
      <x:c r="A140" s="26" t="str">
        <x:v>spider_fang_dagger</x:v>
      </x:c>
      <x:c r="B140" s="26" t="str">
        <x:v>Spider Fang Dagger</x:v>
      </x:c>
      <x:c r="C140" s="26" t="str">
        <x:v>Drop/Placeholder</x:v>
      </x:c>
      <x:c r="D140" s="26" t="n">
        <x:v>1</x:v>
      </x:c>
      <x:c r="E140" s="32" t="b">
        <x:v>1</x:v>
      </x:c>
      <x:c r="F140" s="26" t="str">
        <x:v>Drop table</x:v>
      </x:c>
      <x:c r="G140" s="26" t="str">
        <x:v>Varies</x:v>
      </x:c>
      <x:c r="H140" s="26" t="str"/>
      <x:c r="I140" s="26" t="str">
        <x:v>Unique</x:v>
      </x:c>
      <x:c r="J140" s="34" t="n">
        <x:v>2</x:v>
      </x:c>
      <x:c r="K140" s="26" t="str">
        <x:v>Future recipe/quest hook</x:v>
      </x:c>
      <x:c r="L140" s="26" t="str">
        <x:v>Unique</x:v>
      </x:c>
    </x:row>
    <x:row r="141" ht="15" hidden="0" customHeight="1">
      <x:c r="A141" s="26" t="str">
        <x:v>forest_rat_tail</x:v>
      </x:c>
      <x:c r="B141" s="26" t="str">
        <x:v>Forest Rat Tail</x:v>
      </x:c>
      <x:c r="C141" s="26" t="str">
        <x:v>Drop/Placeholder</x:v>
      </x:c>
      <x:c r="D141" s="26" t="n">
        <x:v>1</x:v>
      </x:c>
      <x:c r="E141" s="32" t="b">
        <x:v>1</x:v>
      </x:c>
      <x:c r="F141" s="26" t="str">
        <x:v>Drop table</x:v>
      </x:c>
      <x:c r="G141" s="26" t="str">
        <x:v>Varies</x:v>
      </x:c>
      <x:c r="H141" s="26" t="str"/>
      <x:c r="I141" s="26" t="str">
        <x:v>Quest</x:v>
      </x:c>
      <x:c r="J141" s="34" t="n">
        <x:v>6</x:v>
      </x:c>
      <x:c r="K141" s="26" t="str">
        <x:v>Future recipe/quest hook</x:v>
      </x:c>
      <x:c r="L141" s="26" t="str">
        <x:v>Quest</x:v>
      </x:c>
    </x:row>
    <x:row r="142" ht="15" hidden="0" customHeight="1">
      <x:c r="A142" s="26" t="str">
        <x:v>bronze_sword</x:v>
      </x:c>
      <x:c r="B142" s="26" t="str">
        <x:v>Bronze Sword</x:v>
      </x:c>
      <x:c r="C142" s="26" t="str">
        <x:v>Drop/Placeholder</x:v>
      </x:c>
      <x:c r="D142" s="26" t="n">
        <x:v>1</x:v>
      </x:c>
      <x:c r="E142" s="32" t="b">
        <x:v>1</x:v>
      </x:c>
      <x:c r="F142" s="26" t="str">
        <x:v>Drop table</x:v>
      </x:c>
      <x:c r="G142" s="26" t="str">
        <x:v>Varies</x:v>
      </x:c>
      <x:c r="H142" s="26" t="str"/>
      <x:c r="I142" s="26" t="str">
        <x:v>Weapon</x:v>
      </x:c>
      <x:c r="J142" s="34" t="n">
        <x:v>16</x:v>
      </x:c>
      <x:c r="K142" s="26" t="str">
        <x:v>Future recipe/quest hook</x:v>
      </x:c>
      <x:c r="L142" s="26" t="str">
        <x:v>Weapon</x:v>
      </x:c>
    </x:row>
    <x:row r="143" ht="15" hidden="0" customHeight="1">
      <x:c r="A143" s="26" t="str">
        <x:v>bandit_hook</x:v>
      </x:c>
      <x:c r="B143" s="26" t="str">
        <x:v>Bandit Hook</x:v>
      </x:c>
      <x:c r="C143" s="26" t="str">
        <x:v>Drop/Placeholder</x:v>
      </x:c>
      <x:c r="D143" s="26" t="n">
        <x:v>1</x:v>
      </x:c>
      <x:c r="E143" s="32" t="b">
        <x:v>1</x:v>
      </x:c>
      <x:c r="F143" s="26" t="str">
        <x:v>Drop table</x:v>
      </x:c>
      <x:c r="G143" s="26" t="str">
        <x:v>Varies</x:v>
      </x:c>
      <x:c r="H143" s="26" t="str"/>
      <x:c r="I143" s="26" t="str">
        <x:v>Unique</x:v>
      </x:c>
      <x:c r="J143" s="34" t="n">
        <x:v>4</x:v>
      </x:c>
      <x:c r="K143" s="26" t="str">
        <x:v>Future recipe/quest hook</x:v>
      </x:c>
      <x:c r="L143" s="26" t="str">
        <x:v>Unique</x:v>
      </x:c>
    </x:row>
    <x:row r="144" ht="15" hidden="0" customHeight="1">
      <x:c r="A144" s="26" t="str">
        <x:v>mud_shell_shield</x:v>
      </x:c>
      <x:c r="B144" s="26" t="str">
        <x:v>Mud Shell Shield</x:v>
      </x:c>
      <x:c r="C144" s="26" t="str">
        <x:v>Drop/Placeholder</x:v>
      </x:c>
      <x:c r="D144" s="26" t="n">
        <x:v>1</x:v>
      </x:c>
      <x:c r="E144" s="32" t="b">
        <x:v>1</x:v>
      </x:c>
      <x:c r="F144" s="26" t="str">
        <x:v>Drop table</x:v>
      </x:c>
      <x:c r="G144" s="26" t="str">
        <x:v>Varies</x:v>
      </x:c>
      <x:c r="H144" s="26" t="str"/>
      <x:c r="I144" s="26" t="str">
        <x:v>Unique</x:v>
      </x:c>
      <x:c r="J144" s="34" t="n">
        <x:v>2</x:v>
      </x:c>
      <x:c r="K144" s="26" t="str">
        <x:v>Future recipe/quest hook</x:v>
      </x:c>
      <x:c r="L144" s="26" t="str">
        <x:v>Unique</x:v>
      </x:c>
    </x:row>
    <x:row r="145" ht="15" hidden="0" customHeight="1">
      <x:c r="A145" s="26" t="str">
        <x:v>fisher_gob_hat</x:v>
      </x:c>
      <x:c r="B145" s="26" t="str">
        <x:v>Fisher Gob Hat</x:v>
      </x:c>
      <x:c r="C145" s="26" t="str">
        <x:v>Drop/Placeholder</x:v>
      </x:c>
      <x:c r="D145" s="26" t="n">
        <x:v>1</x:v>
      </x:c>
      <x:c r="E145" s="32" t="b">
        <x:v>1</x:v>
      </x:c>
      <x:c r="F145" s="26" t="str">
        <x:v>Drop table</x:v>
      </x:c>
      <x:c r="G145" s="26" t="str">
        <x:v>Varies</x:v>
      </x:c>
      <x:c r="H145" s="26" t="str"/>
      <x:c r="I145" s="26" t="str">
        <x:v>Unique</x:v>
      </x:c>
      <x:c r="J145" s="34" t="n">
        <x:v>4</x:v>
      </x:c>
      <x:c r="K145" s="26" t="str">
        <x:v>Future recipe/quest hook</x:v>
      </x:c>
      <x:c r="L145" s="26" t="str">
        <x:v>Unique</x:v>
      </x:c>
    </x:row>
    <x:row r="146" ht="15" hidden="0" customHeight="1">
      <x:c r="A146" s="26" t="str">
        <x:v>echo_fang</x:v>
      </x:c>
      <x:c r="B146" s="26" t="str">
        <x:v>Echo Fang</x:v>
      </x:c>
      <x:c r="C146" s="26" t="str">
        <x:v>Drop/Placeholder</x:v>
      </x:c>
      <x:c r="D146" s="26" t="n">
        <x:v>1</x:v>
      </x:c>
      <x:c r="E146" s="32" t="b">
        <x:v>1</x:v>
      </x:c>
      <x:c r="F146" s="26" t="str">
        <x:v>Drop table</x:v>
      </x:c>
      <x:c r="G146" s="26" t="str">
        <x:v>Varies</x:v>
      </x:c>
      <x:c r="H146" s="26" t="str"/>
      <x:c r="I146" s="26" t="str">
        <x:v>Unique</x:v>
      </x:c>
      <x:c r="J146" s="34" t="n">
        <x:v>3</x:v>
      </x:c>
      <x:c r="K146" s="26" t="str">
        <x:v>Future recipe/quest hook</x:v>
      </x:c>
      <x:c r="L146" s="26" t="str">
        <x:v>Unique</x:v>
      </x:c>
    </x:row>
    <x:row r="147" ht="15" hidden="0" customHeight="1">
      <x:c r="A147" s="26" t="str">
        <x:v>iron_crab_shell</x:v>
      </x:c>
      <x:c r="B147" s="26" t="str">
        <x:v>Iron Crab Shell</x:v>
      </x:c>
      <x:c r="C147" s="26" t="str">
        <x:v>Drop/Placeholder</x:v>
      </x:c>
      <x:c r="D147" s="26" t="n">
        <x:v>1</x:v>
      </x:c>
      <x:c r="E147" s="32" t="b">
        <x:v>1</x:v>
      </x:c>
      <x:c r="F147" s="26" t="str">
        <x:v>Drop table</x:v>
      </x:c>
      <x:c r="G147" s="26" t="str">
        <x:v>Varies</x:v>
      </x:c>
      <x:c r="H147" s="26" t="str"/>
      <x:c r="I147" s="26" t="str">
        <x:v>Unique</x:v>
      </x:c>
      <x:c r="J147" s="34" t="n">
        <x:v>2</x:v>
      </x:c>
      <x:c r="K147" s="26" t="str">
        <x:v>Future recipe/quest hook</x:v>
      </x:c>
      <x:c r="L147" s="26" t="str">
        <x:v>Unique</x:v>
      </x:c>
    </x:row>
    <x:row r="148" ht="15" hidden="0" customHeight="1">
      <x:c r="A148" s="26" t="str">
        <x:v>moss_wolf_pelt</x:v>
      </x:c>
      <x:c r="B148" s="26" t="str">
        <x:v>Moss Wolf Pelt</x:v>
      </x:c>
      <x:c r="C148" s="26" t="str">
        <x:v>Drop/Placeholder</x:v>
      </x:c>
      <x:c r="D148" s="26" t="n">
        <x:v>1</x:v>
      </x:c>
      <x:c r="E148" s="32" t="b">
        <x:v>1</x:v>
      </x:c>
      <x:c r="F148" s="26" t="str">
        <x:v>Drop table</x:v>
      </x:c>
      <x:c r="G148" s="26" t="str">
        <x:v>Varies</x:v>
      </x:c>
      <x:c r="H148" s="26" t="str"/>
      <x:c r="I148" s="26" t="str">
        <x:v>Unique Craft</x:v>
      </x:c>
      <x:c r="J148" s="34" t="n">
        <x:v>4</x:v>
      </x:c>
      <x:c r="K148" s="26" t="str">
        <x:v>Future recipe/quest hook</x:v>
      </x:c>
      <x:c r="L148" s="26" t="str">
        <x:v>Unique Craft</x:v>
      </x:c>
    </x:row>
    <x:row r="149" ht="15" hidden="0" customHeight="1">
      <x:c r="A149" s="26" t="str">
        <x:v>iron_dagger</x:v>
      </x:c>
      <x:c r="B149" s="26" t="str">
        <x:v>Iron Dagger</x:v>
      </x:c>
      <x:c r="C149" s="26" t="str">
        <x:v>Drop/Placeholder</x:v>
      </x:c>
      <x:c r="D149" s="26" t="n">
        <x:v>1</x:v>
      </x:c>
      <x:c r="E149" s="32" t="b">
        <x:v>1</x:v>
      </x:c>
      <x:c r="F149" s="26" t="str">
        <x:v>Drop table</x:v>
      </x:c>
      <x:c r="G149" s="26" t="str">
        <x:v>Varies</x:v>
      </x:c>
      <x:c r="H149" s="26" t="str"/>
      <x:c r="I149" s="26" t="str">
        <x:v>Weapon</x:v>
      </x:c>
      <x:c r="J149" s="34" t="n">
        <x:v>24</x:v>
      </x:c>
      <x:c r="K149" s="26" t="str">
        <x:v>Future recipe/quest hook</x:v>
      </x:c>
      <x:c r="L149" s="26" t="str">
        <x:v>Weapon</x:v>
      </x:c>
    </x:row>
    <x:row r="150" ht="15" hidden="0" customHeight="1">
      <x:c r="A150" s="26" t="str">
        <x:v>scout_map_scrap</x:v>
      </x:c>
      <x:c r="B150" s="26" t="str">
        <x:v>Scout Map Scrap</x:v>
      </x:c>
      <x:c r="C150" s="26" t="str">
        <x:v>Drop/Placeholder</x:v>
      </x:c>
      <x:c r="D150" s="26" t="n">
        <x:v>1</x:v>
      </x:c>
      <x:c r="E150" s="32" t="b">
        <x:v>1</x:v>
      </x:c>
      <x:c r="F150" s="26" t="str">
        <x:v>Drop table</x:v>
      </x:c>
      <x:c r="G150" s="26" t="str">
        <x:v>Varies</x:v>
      </x:c>
      <x:c r="H150" s="26" t="str"/>
      <x:c r="I150" s="26" t="str">
        <x:v>Quest</x:v>
      </x:c>
      <x:c r="J150" s="34" t="n">
        <x:v>40</x:v>
      </x:c>
      <x:c r="K150" s="26" t="str">
        <x:v>Future recipe/quest hook</x:v>
      </x:c>
      <x:c r="L150" s="26" t="str">
        <x:v>Quest</x:v>
      </x:c>
    </x:row>
    <x:row r="151" ht="15" hidden="0" customHeight="1">
      <x:c r="A151" s="26" t="str">
        <x:v>scout_hood</x:v>
      </x:c>
      <x:c r="B151" s="26" t="str">
        <x:v>Scout Hood</x:v>
      </x:c>
      <x:c r="C151" s="26" t="str">
        <x:v>Drop/Placeholder</x:v>
      </x:c>
      <x:c r="D151" s="26" t="n">
        <x:v>1</x:v>
      </x:c>
      <x:c r="E151" s="32" t="b">
        <x:v>1</x:v>
      </x:c>
      <x:c r="F151" s="26" t="str">
        <x:v>Drop table</x:v>
      </x:c>
      <x:c r="G151" s="26" t="str">
        <x:v>Varies</x:v>
      </x:c>
      <x:c r="H151" s="26" t="str"/>
      <x:c r="I151" s="26" t="str">
        <x:v>Unique</x:v>
      </x:c>
      <x:c r="J151" s="34" t="n">
        <x:v>4</x:v>
      </x:c>
      <x:c r="K151" s="26" t="str">
        <x:v>Future recipe/quest hook</x:v>
      </x:c>
      <x:c r="L151" s="26" t="str">
        <x:v>Unique</x:v>
      </x:c>
    </x:row>
    <x:row r="152" ht="15" hidden="0" customHeight="1">
      <x:c r="A152" s="26" t="str">
        <x:v>frog_crown</x:v>
      </x:c>
      <x:c r="B152" s="26" t="str">
        <x:v>Frog Crown</x:v>
      </x:c>
      <x:c r="C152" s="26" t="str">
        <x:v>Drop/Placeholder</x:v>
      </x:c>
      <x:c r="D152" s="26" t="n">
        <x:v>1</x:v>
      </x:c>
      <x:c r="E152" s="32" t="b">
        <x:v>1</x:v>
      </x:c>
      <x:c r="F152" s="26" t="str">
        <x:v>Drop table</x:v>
      </x:c>
      <x:c r="G152" s="26" t="str">
        <x:v>Varies</x:v>
      </x:c>
      <x:c r="H152" s="26" t="str"/>
      <x:c r="I152" s="26" t="str">
        <x:v>Cosmetic</x:v>
      </x:c>
      <x:c r="J152" s="34" t="n">
        <x:v>1</x:v>
      </x:c>
      <x:c r="K152" s="26" t="str">
        <x:v>Future recipe/quest hook</x:v>
      </x:c>
      <x:c r="L152" s="26" t="str">
        <x:v>Cosmetic</x:v>
      </x:c>
    </x:row>
    <x:row r="153" ht="15" hidden="0" customHeight="1">
      <x:c r="A153" s="26" t="str">
        <x:v>bog_rat_charm</x:v>
      </x:c>
      <x:c r="B153" s="26" t="str">
        <x:v>Bog Rat Charm</x:v>
      </x:c>
      <x:c r="C153" s="26" t="str">
        <x:v>Drop/Placeholder</x:v>
      </x:c>
      <x:c r="D153" s="26" t="n">
        <x:v>1</x:v>
      </x:c>
      <x:c r="E153" s="32" t="b">
        <x:v>1</x:v>
      </x:c>
      <x:c r="F153" s="26" t="str">
        <x:v>Drop table</x:v>
      </x:c>
      <x:c r="G153" s="26" t="str">
        <x:v>Varies</x:v>
      </x:c>
      <x:c r="H153" s="26" t="str"/>
      <x:c r="I153" s="26" t="str">
        <x:v>Unique</x:v>
      </x:c>
      <x:c r="J153" s="34" t="n">
        <x:v>4</x:v>
      </x:c>
      <x:c r="K153" s="26" t="str">
        <x:v>Future recipe/quest hook</x:v>
      </x:c>
      <x:c r="L153" s="26" t="str">
        <x:v>Unique</x:v>
      </x:c>
    </x:row>
    <x:row r="154" ht="15" hidden="0" customHeight="1">
      <x:c r="A154" s="26" t="str">
        <x:v>bone_needle</x:v>
      </x:c>
      <x:c r="B154" s="26" t="str">
        <x:v>Bone Needle</x:v>
      </x:c>
      <x:c r="C154" s="26" t="str">
        <x:v>Drop/Placeholder</x:v>
      </x:c>
      <x:c r="D154" s="26" t="n">
        <x:v>1</x:v>
      </x:c>
      <x:c r="E154" s="32" t="b">
        <x:v>1</x:v>
      </x:c>
      <x:c r="F154" s="26" t="str">
        <x:v>Drop table</x:v>
      </x:c>
      <x:c r="G154" s="26" t="str">
        <x:v>Varies</x:v>
      </x:c>
      <x:c r="H154" s="26" t="str"/>
      <x:c r="I154" s="26" t="str">
        <x:v>Crafting</x:v>
      </x:c>
      <x:c r="J154" s="34" t="n">
        <x:v>24</x:v>
      </x:c>
      <x:c r="K154" s="26" t="str">
        <x:v>Future recipe/quest hook</x:v>
      </x:c>
      <x:c r="L154" s="26" t="str">
        <x:v>Crafting</x:v>
      </x:c>
    </x:row>
    <x:row r="155" ht="15" hidden="0" customHeight="1">
      <x:c r="A155" s="26" t="str">
        <x:v>spore_mask</x:v>
      </x:c>
      <x:c r="B155" s="26" t="str">
        <x:v>Spore Mask</x:v>
      </x:c>
      <x:c r="C155" s="26" t="str">
        <x:v>Drop/Placeholder</x:v>
      </x:c>
      <x:c r="D155" s="26" t="n">
        <x:v>1</x:v>
      </x:c>
      <x:c r="E155" s="32" t="b">
        <x:v>1</x:v>
      </x:c>
      <x:c r="F155" s="26" t="str">
        <x:v>Drop table</x:v>
      </x:c>
      <x:c r="G155" s="26" t="str">
        <x:v>Varies</x:v>
      </x:c>
      <x:c r="H155" s="26" t="str"/>
      <x:c r="I155" s="26" t="str">
        <x:v>Unique</x:v>
      </x:c>
      <x:c r="J155" s="34" t="n">
        <x:v>4</x:v>
      </x:c>
      <x:c r="K155" s="26" t="str">
        <x:v>Future recipe/quest hook</x:v>
      </x:c>
      <x:c r="L155" s="26" t="str">
        <x:v>Unique</x:v>
      </x:c>
    </x:row>
    <x:row r="156" ht="15" hidden="0" customHeight="1">
      <x:c r="A156" s="26" t="str">
        <x:v>miners_belt</x:v>
      </x:c>
      <x:c r="B156" s="26" t="str">
        <x:v>Miners Belt</x:v>
      </x:c>
      <x:c r="C156" s="26" t="str">
        <x:v>Drop/Placeholder</x:v>
      </x:c>
      <x:c r="D156" s="26" t="n">
        <x:v>1</x:v>
      </x:c>
      <x:c r="E156" s="32" t="b">
        <x:v>1</x:v>
      </x:c>
      <x:c r="F156" s="26" t="str">
        <x:v>Drop table</x:v>
      </x:c>
      <x:c r="G156" s="26" t="str">
        <x:v>Varies</x:v>
      </x:c>
      <x:c r="H156" s="26" t="str"/>
      <x:c r="I156" s="26" t="str">
        <x:v>Unique</x:v>
      </x:c>
      <x:c r="J156" s="34" t="n">
        <x:v>4</x:v>
      </x:c>
      <x:c r="K156" s="26" t="str">
        <x:v>Future recipe/quest hook</x:v>
      </x:c>
      <x:c r="L156" s="26" t="str">
        <x:v>Unique</x:v>
      </x:c>
    </x:row>
    <x:row r="157" ht="15" hidden="0" customHeight="1">
      <x:c r="A157" s="26" t="str">
        <x:v>raw_carp</x:v>
      </x:c>
      <x:c r="B157" s="26" t="str">
        <x:v>Raw Carp</x:v>
      </x:c>
      <x:c r="C157" s="26" t="str">
        <x:v>Drop/Placeholder</x:v>
      </x:c>
      <x:c r="D157" s="26" t="n">
        <x:v>1</x:v>
      </x:c>
      <x:c r="E157" s="32" t="b">
        <x:v>1</x:v>
      </x:c>
      <x:c r="F157" s="26" t="str">
        <x:v>Drop table</x:v>
      </x:c>
      <x:c r="G157" s="26" t="str">
        <x:v>Varies</x:v>
      </x:c>
      <x:c r="H157" s="26" t="str"/>
      <x:c r="I157" s="26" t="str">
        <x:v>Food</x:v>
      </x:c>
      <x:c r="J157" s="34" t="n">
        <x:v>50</x:v>
      </x:c>
      <x:c r="K157" s="26" t="str">
        <x:v>Future recipe/quest hook</x:v>
      </x:c>
      <x:c r="L157" s="26" t="str">
        <x:v>Food</x:v>
      </x:c>
    </x:row>
    <x:row r="158" ht="15" hidden="0" customHeight="1">
      <x:c r="A158" s="26" t="str">
        <x:v>snapper_tooth_necklace</x:v>
      </x:c>
      <x:c r="B158" s="26" t="str">
        <x:v>Snapper Tooth Necklace</x:v>
      </x:c>
      <x:c r="C158" s="26" t="str">
        <x:v>Drop/Placeholder</x:v>
      </x:c>
      <x:c r="D158" s="26" t="n">
        <x:v>1</x:v>
      </x:c>
      <x:c r="E158" s="32" t="b">
        <x:v>1</x:v>
      </x:c>
      <x:c r="F158" s="26" t="str">
        <x:v>Drop table</x:v>
      </x:c>
      <x:c r="G158" s="26" t="str">
        <x:v>Varies</x:v>
      </x:c>
      <x:c r="H158" s="26" t="str"/>
      <x:c r="I158" s="26" t="str">
        <x:v>Unique</x:v>
      </x:c>
      <x:c r="J158" s="34" t="n">
        <x:v>2</x:v>
      </x:c>
      <x:c r="K158" s="26" t="str">
        <x:v>Future recipe/quest hook</x:v>
      </x:c>
      <x:c r="L158" s="26" t="str">
        <x:v>Unique</x:v>
      </x:c>
    </x:row>
    <x:row r="159" ht="15" hidden="0" customHeight="1">
      <x:c r="A159" s="26" t="str">
        <x:v>archer_wristguard</x:v>
      </x:c>
      <x:c r="B159" s="26" t="str">
        <x:v>Archer Wristguard</x:v>
      </x:c>
      <x:c r="C159" s="26" t="str">
        <x:v>Drop/Placeholder</x:v>
      </x:c>
      <x:c r="D159" s="26" t="n">
        <x:v>1</x:v>
      </x:c>
      <x:c r="E159" s="32" t="b">
        <x:v>1</x:v>
      </x:c>
      <x:c r="F159" s="26" t="str">
        <x:v>Drop table</x:v>
      </x:c>
      <x:c r="G159" s="26" t="str">
        <x:v>Varies</x:v>
      </x:c>
      <x:c r="H159" s="26" t="str"/>
      <x:c r="I159" s="26" t="str">
        <x:v>Unique</x:v>
      </x:c>
      <x:c r="J159" s="34" t="n">
        <x:v>4</x:v>
      </x:c>
      <x:c r="K159" s="26" t="str">
        <x:v>Future recipe/quest hook</x:v>
      </x:c>
      <x:c r="L159" s="26" t="str">
        <x:v>Unique</x:v>
      </x:c>
    </x:row>
    <x:row r="160" ht="15" hidden="0" customHeight="1">
      <x:c r="A160" s="26" t="str">
        <x:v>bone_amulet</x:v>
      </x:c>
      <x:c r="B160" s="26" t="str">
        <x:v>Bone Amulet</x:v>
      </x:c>
      <x:c r="C160" s="26" t="str">
        <x:v>Drop/Placeholder</x:v>
      </x:c>
      <x:c r="D160" s="26" t="n">
        <x:v>1</x:v>
      </x:c>
      <x:c r="E160" s="32" t="b">
        <x:v>1</x:v>
      </x:c>
      <x:c r="F160" s="26" t="str">
        <x:v>Drop table</x:v>
      </x:c>
      <x:c r="G160" s="26" t="str">
        <x:v>Varies</x:v>
      </x:c>
      <x:c r="H160" s="26" t="str"/>
      <x:c r="I160" s="26" t="str">
        <x:v>Jewelry</x:v>
      </x:c>
      <x:c r="J160" s="34" t="n">
        <x:v>16</x:v>
      </x:c>
      <x:c r="K160" s="26" t="str">
        <x:v>Future recipe/quest hook</x:v>
      </x:c>
      <x:c r="L160" s="26" t="str">
        <x:v>Jewelry</x:v>
      </x:c>
    </x:row>
    <x:row r="161" ht="15" hidden="0" customHeight="1">
      <x:c r="A161" s="26" t="str">
        <x:v>troll_club</x:v>
      </x:c>
      <x:c r="B161" s="26" t="str">
        <x:v>Troll Club</x:v>
      </x:c>
      <x:c r="C161" s="26" t="str">
        <x:v>Drop/Placeholder</x:v>
      </x:c>
      <x:c r="D161" s="26" t="n">
        <x:v>1</x:v>
      </x:c>
      <x:c r="E161" s="32" t="b">
        <x:v>1</x:v>
      </x:c>
      <x:c r="F161" s="26" t="str">
        <x:v>Drop table</x:v>
      </x:c>
      <x:c r="G161" s="26" t="str">
        <x:v>Varies</x:v>
      </x:c>
      <x:c r="H161" s="26" t="str"/>
      <x:c r="I161" s="26" t="str">
        <x:v>Unique</x:v>
      </x:c>
      <x:c r="J161" s="34" t="n">
        <x:v>4</x:v>
      </x:c>
      <x:c r="K161" s="26" t="str">
        <x:v>Future recipe/quest hook</x:v>
      </x:c>
      <x:c r="L161" s="26" t="str">
        <x:v>Unique</x:v>
      </x:c>
    </x:row>
    <x:row r="162" ht="15" hidden="0" customHeight="1">
      <x:c r="A162" s="26" t="str">
        <x:v>bog_horror_hide</x:v>
      </x:c>
      <x:c r="B162" s="26" t="str">
        <x:v>Bog Horror Hide</x:v>
      </x:c>
      <x:c r="C162" s="26" t="str">
        <x:v>Drop/Placeholder</x:v>
      </x:c>
      <x:c r="D162" s="26" t="n">
        <x:v>1</x:v>
      </x:c>
      <x:c r="E162" s="32" t="b">
        <x:v>1</x:v>
      </x:c>
      <x:c r="F162" s="26" t="str">
        <x:v>Drop table</x:v>
      </x:c>
      <x:c r="G162" s="26" t="str">
        <x:v>Varies</x:v>
      </x:c>
      <x:c r="H162" s="26" t="str"/>
      <x:c r="I162" s="26" t="str">
        <x:v>Armour</x:v>
      </x:c>
      <x:c r="J162" s="34" t="n">
        <x:v>16</x:v>
      </x:c>
      <x:c r="K162" s="26" t="str">
        <x:v>Future recipe/quest hook</x:v>
      </x:c>
      <x:c r="L162" s="26" t="str">
        <x:v>Armour</x:v>
      </x:c>
    </x:row>
    <x:row r="163" ht="15" hidden="0" customHeight="1">
      <x:c r="A163" s="26" t="str">
        <x:v>goblin_charm</x:v>
      </x:c>
      <x:c r="B163" s="26" t="str">
        <x:v>Goblin Charm</x:v>
      </x:c>
      <x:c r="C163" s="26" t="str">
        <x:v>Recipe Placeholder</x:v>
      </x:c>
      <x:c r="D163" s="26" t="n">
        <x:v>1</x:v>
      </x:c>
      <x:c r="E163" s="32" t="b">
        <x:v>1</x:v>
      </x:c>
      <x:c r="F163" s="26" t="str">
        <x:v>Recipe</x:v>
      </x:c>
      <x:c r="G163" s="26" t="str">
        <x:v>Varies</x:v>
      </x:c>
      <x:c r="H163" s="26" t="str"/>
      <x:c r="I163" s="26" t="str"/>
      <x:c r="J163" s="34" t="n">
        <x:v>10</x:v>
      </x:c>
      <x:c r="K163" s="26" t="str">
        <x:v>Future recipe hook</x:v>
      </x:c>
      <x:c r="L163" s="26" t="str">
        <x:v>Crafting</x:v>
      </x:c>
    </x:row>
    <x:row r="164" ht="15" hidden="0" customHeight="1">
      <x:c r="A164" s="26" t="str">
        <x:v>gem_ring</x:v>
      </x:c>
      <x:c r="B164" s="26" t="str">
        <x:v>Gem Ring</x:v>
      </x:c>
      <x:c r="C164" s="26" t="str">
        <x:v>Recipe Placeholder</x:v>
      </x:c>
      <x:c r="D164" s="26" t="n">
        <x:v>1</x:v>
      </x:c>
      <x:c r="E164" s="32" t="b">
        <x:v>1</x:v>
      </x:c>
      <x:c r="F164" s="26" t="str">
        <x:v>Recipe</x:v>
      </x:c>
      <x:c r="G164" s="26" t="str">
        <x:v>Varies</x:v>
      </x:c>
      <x:c r="H164" s="26" t="str"/>
      <x:c r="I164" s="26" t="str"/>
      <x:c r="J164" s="34" t="n">
        <x:v>10</x:v>
      </x:c>
      <x:c r="K164" s="26" t="str">
        <x:v>Future recipe hook</x:v>
      </x:c>
      <x:c r="L164" s="26" t="str">
        <x:v>Crafting</x:v>
      </x:c>
    </x:row>
  </x:sheetData>
  <x:pageMargins left="0.7" right="0.7" top="0.75" bottom="0.75" header="0.3" footer="0.3"/>
  <x:tableParts count="1">
    <x:tablePart xmlns:r="http://schemas.openxmlformats.org/officeDocument/2006/relationships" r:id="Rbe64a253c26745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2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15" hidden="0" customHeight="1">
      <x:c r="A1" s="20" t="str">
        <x:v>Recipe ID</x:v>
      </x:c>
      <x:c r="B1" s="20" t="str">
        <x:v>Name</x:v>
      </x:c>
      <x:c r="C1" s="20" t="str">
        <x:v>Station</x:v>
      </x:c>
      <x:c r="D1" s="20" t="str">
        <x:v>Skill</x:v>
      </x:c>
      <x:c r="E1" s="20" t="str">
        <x:v>Level</x:v>
      </x:c>
      <x:c r="F1" s="20" t="str">
        <x:v>Input 1 ID</x:v>
      </x:c>
      <x:c r="G1" s="20" t="str">
        <x:v>Qty 1</x:v>
      </x:c>
      <x:c r="H1" s="20" t="str">
        <x:v>Input 2 ID</x:v>
      </x:c>
      <x:c r="I1" s="20" t="str">
        <x:v>Qty 2</x:v>
      </x:c>
      <x:c r="J1" s="20" t="str">
        <x:v>Input 3 ID</x:v>
      </x:c>
      <x:c r="K1" s="20" t="str">
        <x:v>Qty 3</x:v>
      </x:c>
      <x:c r="L1" s="20" t="str">
        <x:v>Input 4 ID</x:v>
      </x:c>
      <x:c r="M1" s="20" t="str">
        <x:v>Qty 4</x:v>
      </x:c>
      <x:c r="N1" s="20" t="str">
        <x:v>Output ID</x:v>
      </x:c>
      <x:c r="O1" s="20" t="str">
        <x:v>Output Qty</x:v>
      </x:c>
      <x:c r="P1" s="20" t="str">
        <x:v>XP</x:v>
      </x:c>
      <x:c r="Q1" s="20" t="str">
        <x:v>Recipe Notes</x:v>
      </x:c>
      <x:c r="R1" s="20" t="str">
        <x:v>Material GP Formula</x:v>
      </x:c>
      <x:c r="S1" s="20" t="str">
        <x:v>Output GP Formula</x:v>
      </x:c>
      <x:c r="T1" s="20" t="str">
        <x:v>Value Delta</x:v>
      </x:c>
    </x:row>
    <x:row r="2" ht="15" hidden="0" customHeight="1">
      <x:c r="A2" s="26" t="str">
        <x:v>smelt_bronze_bar</x:v>
      </x:c>
      <x:c r="B2" s="26" t="str">
        <x:v>Smelt Bronze Bar</x:v>
      </x:c>
      <x:c r="C2" s="26" t="str">
        <x:v>Furnace</x:v>
      </x:c>
      <x:c r="D2" s="26" t="str">
        <x:v>Smithing</x:v>
      </x:c>
      <x:c r="E2" s="26" t="n">
        <x:v>1</x:v>
      </x:c>
      <x:c r="F2" s="26" t="str">
        <x:v>copper_ore</x:v>
      </x:c>
      <x:c r="G2" s="26" t="n">
        <x:v>1</x:v>
      </x:c>
      <x:c r="H2" s="26" t="str">
        <x:v>tin_ore</x:v>
      </x:c>
      <x:c r="I2" s="26" t="n">
        <x:v>1</x:v>
      </x:c>
      <x:c r="J2" s="26" t="str"/>
      <x:c r="K2" s="26" t="str"/>
      <x:c r="L2" s="26" t="str"/>
      <x:c r="M2" s="26" t="str"/>
      <x:c r="N2" s="26" t="str">
        <x:v>bronze_bar</x:v>
      </x:c>
      <x:c r="O2" s="26" t="n">
        <x:v>1</x:v>
      </x:c>
      <x:c r="P2" s="26" t="n">
        <x:v>6</x:v>
      </x:c>
      <x:c r="Q2" s="26" t="str">
        <x:v>First metal loop</x:v>
      </x:c>
      <x:c r="R2" s="34" t="n">
        <x:f>IFERROR(G2*XLOOKUP(F2,'Items Master'!$A:$A,'Items Master'!$J:$J,0),0)+IFERROR(I2*XLOOKUP(H2,'Items Master'!$A:$A,'Items Master'!$J:$J,0),0)+IFERROR(K2*XLOOKUP(J2,'Items Master'!$A:$A,'Items Master'!$J:$J,0),0)+IFERROR(M2*XLOOKUP(L2,'Items Master'!$A:$A,'Items Master'!$J:$J,0),0)</x:f>
        <x:v>6</x:v>
      </x:c>
      <x:c r="S2" s="34" t="n">
        <x:f>IFERROR(O2*XLOOKUP(N2,'Items Master'!$A:$A,'Items Master'!$J:$J,0),0)</x:f>
        <x:v>12</x:v>
      </x:c>
      <x:c r="T2" s="34" t="n">
        <x:f>S2-R2</x:f>
        <x:v>6</x:v>
      </x:c>
    </x:row>
    <x:row r="3" ht="15" hidden="0" customHeight="1">
      <x:c r="A3" s="26" t="str">
        <x:v>smelt_iron_bar</x:v>
      </x:c>
      <x:c r="B3" s="26" t="str">
        <x:v>Smelt Iron Bar</x:v>
      </x:c>
      <x:c r="C3" s="26" t="str">
        <x:v>Furnace</x:v>
      </x:c>
      <x:c r="D3" s="26" t="str">
        <x:v>Smithing</x:v>
      </x:c>
      <x:c r="E3" s="26" t="n">
        <x:v>15</x:v>
      </x:c>
      <x:c r="F3" s="26" t="str">
        <x:v>iron_ore</x:v>
      </x:c>
      <x:c r="G3" s="26" t="n">
        <x:v>1</x:v>
      </x:c>
      <x:c r="H3" s="26" t="str"/>
      <x:c r="I3" s="26" t="str"/>
      <x:c r="J3" s="26" t="str"/>
      <x:c r="K3" s="26" t="str"/>
      <x:c r="L3" s="26" t="str"/>
      <x:c r="M3" s="26" t="str"/>
      <x:c r="N3" s="26" t="str">
        <x:v>iron_bar</x:v>
      </x:c>
      <x:c r="O3" s="26" t="n">
        <x:v>1</x:v>
      </x:c>
      <x:c r="P3" s="26" t="n">
        <x:v>14</x:v>
      </x:c>
      <x:c r="Q3" s="26" t="str">
        <x:v>Unlocks iron gear/tools</x:v>
      </x:c>
      <x:c r="R3" s="34" t="n">
        <x:f>IFERROR(G3*XLOOKUP(F3,'Items Master'!$A:$A,'Items Master'!$J:$J,0),0)+IFERROR(I3*XLOOKUP(H3,'Items Master'!$A:$A,'Items Master'!$J:$J,0),0)+IFERROR(K3*XLOOKUP(J3,'Items Master'!$A:$A,'Items Master'!$J:$J,0),0)+IFERROR(M3*XLOOKUP(L3,'Items Master'!$A:$A,'Items Master'!$J:$J,0),0)</x:f>
        <x:v>12</x:v>
      </x:c>
      <x:c r="S3" s="34" t="n">
        <x:f>IFERROR(O3*XLOOKUP(N3,'Items Master'!$A:$A,'Items Master'!$J:$J,0),0)</x:f>
        <x:v>38</x:v>
      </x:c>
      <x:c r="T3" s="34" t="n">
        <x:f>S3-R3</x:f>
        <x:v>26</x:v>
      </x:c>
    </x:row>
    <x:row r="4" ht="15" hidden="0" customHeight="1">
      <x:c r="A4" s="26" t="str">
        <x:v>smelt_steel_bar</x:v>
      </x:c>
      <x:c r="B4" s="26" t="str">
        <x:v>Smelt Steel Bar</x:v>
      </x:c>
      <x:c r="C4" s="26" t="str">
        <x:v>Furnace</x:v>
      </x:c>
      <x:c r="D4" s="26" t="str">
        <x:v>Smithing</x:v>
      </x:c>
      <x:c r="E4" s="26" t="n">
        <x:v>30</x:v>
      </x:c>
      <x:c r="F4" s="26" t="str">
        <x:v>iron_ore</x:v>
      </x:c>
      <x:c r="G4" s="26" t="n">
        <x:v>1</x:v>
      </x:c>
      <x:c r="H4" s="26" t="str">
        <x:v>coal</x:v>
      </x:c>
      <x:c r="I4" s="26" t="n">
        <x:v>2</x:v>
      </x:c>
      <x:c r="J4" s="26" t="str"/>
      <x:c r="K4" s="26" t="str"/>
      <x:c r="L4" s="26" t="str"/>
      <x:c r="M4" s="26" t="str"/>
      <x:c r="N4" s="26" t="str">
        <x:v>steel_bar</x:v>
      </x:c>
      <x:c r="O4" s="26" t="n">
        <x:v>1</x:v>
      </x:c>
      <x:c r="P4" s="26" t="n">
        <x:v>28</x:v>
      </x:c>
      <x:c r="Q4" s="26" t="str">
        <x:v>Coal creates mine demand</x:v>
      </x:c>
      <x:c r="R4" s="34" t="n">
        <x:f>IFERROR(G4*XLOOKUP(F4,'Items Master'!$A:$A,'Items Master'!$J:$J,0),0)+IFERROR(I4*XLOOKUP(H4,'Items Master'!$A:$A,'Items Master'!$J:$J,0),0)+IFERROR(K4*XLOOKUP(J4,'Items Master'!$A:$A,'Items Master'!$J:$J,0),0)+IFERROR(M4*XLOOKUP(L4,'Items Master'!$A:$A,'Items Master'!$J:$J,0),0)</x:f>
        <x:v>62</x:v>
      </x:c>
      <x:c r="S4" s="34" t="n">
        <x:f>IFERROR(O4*XLOOKUP(N4,'Items Master'!$A:$A,'Items Master'!$J:$J,0),0)</x:f>
        <x:v>95</x:v>
      </x:c>
      <x:c r="T4" s="34" t="n">
        <x:f>S4-R4</x:f>
        <x:v>33</x:v>
      </x:c>
    </x:row>
    <x:row r="5" ht="15" hidden="0" customHeight="1">
      <x:c r="A5" s="26" t="str">
        <x:v>smelt_black_iron_bar</x:v>
      </x:c>
      <x:c r="B5" s="26" t="str">
        <x:v>Smelt Black Iron Bar</x:v>
      </x:c>
      <x:c r="C5" s="26" t="str">
        <x:v>Furnace</x:v>
      </x:c>
      <x:c r="D5" s="26" t="str">
        <x:v>Smithing</x:v>
      </x:c>
      <x:c r="E5" s="26" t="n">
        <x:v>50</x:v>
      </x:c>
      <x:c r="F5" s="26" t="str">
        <x:v>black_iron_ore</x:v>
      </x:c>
      <x:c r="G5" s="26" t="n">
        <x:v>1</x:v>
      </x:c>
      <x:c r="H5" s="26" t="str">
        <x:v>coal</x:v>
      </x:c>
      <x:c r="I5" s="26" t="n">
        <x:v>2</x:v>
      </x:c>
      <x:c r="J5" s="26" t="str"/>
      <x:c r="K5" s="26" t="str"/>
      <x:c r="L5" s="26" t="str"/>
      <x:c r="M5" s="26" t="str"/>
      <x:c r="N5" s="26" t="str">
        <x:v>black_iron_bar</x:v>
      </x:c>
      <x:c r="O5" s="26" t="n">
        <x:v>1</x:v>
      </x:c>
      <x:c r="P5" s="26" t="n">
        <x:v>55</x:v>
      </x:c>
      <x:c r="Q5" s="26" t="str">
        <x:v>Danger-zone metal</x:v>
      </x:c>
      <x:c r="R5" s="34" t="n">
        <x:f>IFERROR(G5*XLOOKUP(F5,'Items Master'!$A:$A,'Items Master'!$J:$J,0),0)+IFERROR(I5*XLOOKUP(H5,'Items Master'!$A:$A,'Items Master'!$J:$J,0),0)+IFERROR(K5*XLOOKUP(J5,'Items Master'!$A:$A,'Items Master'!$J:$J,0),0)+IFERROR(M5*XLOOKUP(L5,'Items Master'!$A:$A,'Items Master'!$J:$J,0),0)</x:f>
        <x:v>165</x:v>
      </x:c>
      <x:c r="S5" s="34" t="n">
        <x:f>IFERROR(O5*XLOOKUP(N5,'Items Master'!$A:$A,'Items Master'!$J:$J,0),0)</x:f>
        <x:v>225</x:v>
      </x:c>
      <x:c r="T5" s="34" t="n">
        <x:f>S5-R5</x:f>
        <x:v>60</x:v>
      </x:c>
    </x:row>
    <x:row r="6" ht="15" hidden="0" customHeight="1">
      <x:c r="A6" s="26" t="str">
        <x:v>smelt_gold_bar</x:v>
      </x:c>
      <x:c r="B6" s="26" t="str">
        <x:v>Smelt Gold Bar</x:v>
      </x:c>
      <x:c r="C6" s="26" t="str">
        <x:v>Furnace</x:v>
      </x:c>
      <x:c r="D6" s="26" t="str">
        <x:v>Smithing</x:v>
      </x:c>
      <x:c r="E6" s="26" t="n">
        <x:v>40</x:v>
      </x:c>
      <x:c r="F6" s="26" t="str">
        <x:v>gold_ore</x:v>
      </x:c>
      <x:c r="G6" s="26" t="n">
        <x:v>1</x:v>
      </x:c>
      <x:c r="H6" s="26" t="str"/>
      <x:c r="I6" s="26" t="str"/>
      <x:c r="J6" s="26" t="str"/>
      <x:c r="K6" s="26" t="str"/>
      <x:c r="L6" s="26" t="str"/>
      <x:c r="M6" s="26" t="str"/>
      <x:c r="N6" s="26" t="str">
        <x:v>gold_bar</x:v>
      </x:c>
      <x:c r="O6" s="26" t="n">
        <x:v>1</x:v>
      </x:c>
      <x:c r="P6" s="26" t="n">
        <x:v>35</x:v>
      </x:c>
      <x:c r="Q6" s="26" t="str">
        <x:v>Jewelry/shrine economy</x:v>
      </x:c>
      <x:c r="R6" s="34" t="n">
        <x:f>IFERROR(G6*XLOOKUP(F6,'Items Master'!$A:$A,'Items Master'!$J:$J,0),0)+IFERROR(I6*XLOOKUP(H6,'Items Master'!$A:$A,'Items Master'!$J:$J,0),0)+IFERROR(K6*XLOOKUP(J6,'Items Master'!$A:$A,'Items Master'!$J:$J,0),0)+IFERROR(M6*XLOOKUP(L6,'Items Master'!$A:$A,'Items Master'!$J:$J,0),0)</x:f>
        <x:v>75</x:v>
      </x:c>
      <x:c r="S6" s="34" t="n">
        <x:f>IFERROR(O6*XLOOKUP(N6,'Items Master'!$A:$A,'Items Master'!$J:$J,0),0)</x:f>
        <x:v>170</x:v>
      </x:c>
      <x:c r="T6" s="34" t="n">
        <x:f>S6-R6</x:f>
        <x:v>95</x:v>
      </x:c>
    </x:row>
    <x:row r="7" ht="15" hidden="0" customHeight="1">
      <x:c r="A7" s="26" t="str">
        <x:v>bronze_hatchet</x:v>
      </x:c>
      <x:c r="B7" s="26" t="str">
        <x:v>Smith Bronze Hatchet</x:v>
      </x:c>
      <x:c r="C7" s="26" t="str">
        <x:v>Anvil</x:v>
      </x:c>
      <x:c r="D7" s="26" t="str">
        <x:v>Smithing</x:v>
      </x:c>
      <x:c r="E7" s="26" t="n">
        <x:v>5</x:v>
      </x:c>
      <x:c r="F7" s="26" t="str">
        <x:v>bronze_bar</x:v>
      </x:c>
      <x:c r="G7" s="26" t="n">
        <x:v>1</x:v>
      </x:c>
      <x:c r="H7" s="26" t="str">
        <x:v>normal_logs</x:v>
      </x:c>
      <x:c r="I7" s="26" t="n">
        <x:v>1</x:v>
      </x:c>
      <x:c r="J7" s="26" t="str"/>
      <x:c r="K7" s="26" t="str"/>
      <x:c r="L7" s="26" t="str"/>
      <x:c r="M7" s="26" t="str"/>
      <x:c r="N7" s="26" t="str">
        <x:v>bronze_hatchet</x:v>
      </x:c>
      <x:c r="O7" s="26" t="n">
        <x:v>1</x:v>
      </x:c>
      <x:c r="P7" s="26" t="n">
        <x:v>12</x:v>
      </x:c>
      <x:c r="Q7" s="26" t="str">
        <x:v>Improves woodcutting</x:v>
      </x:c>
      <x:c r="R7" s="34" t="n">
        <x:f>IFERROR(G7*XLOOKUP(F7,'Items Master'!$A:$A,'Items Master'!$J:$J,0),0)+IFERROR(I7*XLOOKUP(H7,'Items Master'!$A:$A,'Items Master'!$J:$J,0),0)+IFERROR(K7*XLOOKUP(J7,'Items Master'!$A:$A,'Items Master'!$J:$J,0),0)+IFERROR(M7*XLOOKUP(L7,'Items Master'!$A:$A,'Items Master'!$J:$J,0),0)</x:f>
        <x:v>14</x:v>
      </x:c>
      <x:c r="S7" s="34" t="n">
        <x:f>IFERROR(O7*XLOOKUP(N7,'Items Master'!$A:$A,'Items Master'!$J:$J,0),0)</x:f>
        <x:v>35</x:v>
      </x:c>
      <x:c r="T7" s="34" t="n">
        <x:f>S7-R7</x:f>
        <x:v>21</x:v>
      </x:c>
    </x:row>
    <x:row r="8" ht="15" hidden="0" customHeight="1">
      <x:c r="A8" s="26" t="str">
        <x:v>bronze_pickaxe</x:v>
      </x:c>
      <x:c r="B8" s="26" t="str">
        <x:v>Smith Bronze Pickaxe</x:v>
      </x:c>
      <x:c r="C8" s="26" t="str">
        <x:v>Anvil</x:v>
      </x:c>
      <x:c r="D8" s="26" t="str">
        <x:v>Smithing</x:v>
      </x:c>
      <x:c r="E8" s="26" t="n">
        <x:v>5</x:v>
      </x:c>
      <x:c r="F8" s="26" t="str">
        <x:v>bronze_bar</x:v>
      </x:c>
      <x:c r="G8" s="26" t="n">
        <x:v>1</x:v>
      </x:c>
      <x:c r="H8" s="26" t="str">
        <x:v>normal_logs</x:v>
      </x:c>
      <x:c r="I8" s="26" t="n">
        <x:v>1</x:v>
      </x:c>
      <x:c r="J8" s="26" t="str"/>
      <x:c r="K8" s="26" t="str"/>
      <x:c r="L8" s="26" t="str"/>
      <x:c r="M8" s="26" t="str"/>
      <x:c r="N8" s="26" t="str">
        <x:v>bronze_pickaxe</x:v>
      </x:c>
      <x:c r="O8" s="26" t="n">
        <x:v>1</x:v>
      </x:c>
      <x:c r="P8" s="26" t="n">
        <x:v>12</x:v>
      </x:c>
      <x:c r="Q8" s="26" t="str">
        <x:v>Improves mining</x:v>
      </x:c>
      <x:c r="R8" s="34" t="n">
        <x:f>IFERROR(G8*XLOOKUP(F8,'Items Master'!$A:$A,'Items Master'!$J:$J,0),0)+IFERROR(I8*XLOOKUP(H8,'Items Master'!$A:$A,'Items Master'!$J:$J,0),0)+IFERROR(K8*XLOOKUP(J8,'Items Master'!$A:$A,'Items Master'!$J:$J,0),0)+IFERROR(M8*XLOOKUP(L8,'Items Master'!$A:$A,'Items Master'!$J:$J,0),0)</x:f>
        <x:v>14</x:v>
      </x:c>
      <x:c r="S8" s="34" t="n">
        <x:f>IFERROR(O8*XLOOKUP(N8,'Items Master'!$A:$A,'Items Master'!$J:$J,0),0)</x:f>
        <x:v>35</x:v>
      </x:c>
      <x:c r="T8" s="34" t="n">
        <x:f>S8-R8</x:f>
        <x:v>21</x:v>
      </x:c>
    </x:row>
    <x:row r="9" ht="15" hidden="0" customHeight="1">
      <x:c r="A9" s="26" t="str">
        <x:v>bronze_spear</x:v>
      </x:c>
      <x:c r="B9" s="26" t="str">
        <x:v>Smith Bronze Spear</x:v>
      </x:c>
      <x:c r="C9" s="26" t="str">
        <x:v>Anvil</x:v>
      </x:c>
      <x:c r="D9" s="26" t="str">
        <x:v>Smithing</x:v>
      </x:c>
      <x:c r="E9" s="26" t="n">
        <x:v>10</x:v>
      </x:c>
      <x:c r="F9" s="26" t="str">
        <x:v>bronze_bar</x:v>
      </x:c>
      <x:c r="G9" s="26" t="n">
        <x:v>1</x:v>
      </x:c>
      <x:c r="H9" s="26" t="str">
        <x:v>normal_logs</x:v>
      </x:c>
      <x:c r="I9" s="26" t="n">
        <x:v>1</x:v>
      </x:c>
      <x:c r="J9" s="26" t="str"/>
      <x:c r="K9" s="26" t="str"/>
      <x:c r="L9" s="26" t="str"/>
      <x:c r="M9" s="26" t="str"/>
      <x:c r="N9" s="26" t="str">
        <x:v>bronze_spear</x:v>
      </x:c>
      <x:c r="O9" s="26" t="n">
        <x:v>1</x:v>
      </x:c>
      <x:c r="P9" s="26" t="n">
        <x:v>18</x:v>
      </x:c>
      <x:c r="Q9" s="26" t="str">
        <x:v>Starter goblin weapon</x:v>
      </x:c>
      <x:c r="R9" s="34" t="n">
        <x:f>IFERROR(G9*XLOOKUP(F9,'Items Master'!$A:$A,'Items Master'!$J:$J,0),0)+IFERROR(I9*XLOOKUP(H9,'Items Master'!$A:$A,'Items Master'!$J:$J,0),0)+IFERROR(K9*XLOOKUP(J9,'Items Master'!$A:$A,'Items Master'!$J:$J,0),0)+IFERROR(M9*XLOOKUP(L9,'Items Master'!$A:$A,'Items Master'!$J:$J,0),0)</x:f>
        <x:v>14</x:v>
      </x:c>
      <x:c r="S9" s="34" t="n">
        <x:f>IFERROR(O9*XLOOKUP(N9,'Items Master'!$A:$A,'Items Master'!$J:$J,0),0)</x:f>
        <x:v>55</x:v>
      </x:c>
      <x:c r="T9" s="34" t="n">
        <x:f>S9-R9</x:f>
        <x:v>41</x:v>
      </x:c>
    </x:row>
    <x:row r="10" ht="15" hidden="0" customHeight="1">
      <x:c r="A10" s="26" t="str">
        <x:v>iron_sword</x:v>
      </x:c>
      <x:c r="B10" s="26" t="str">
        <x:v>Smith Iron Sword</x:v>
      </x:c>
      <x:c r="C10" s="26" t="str">
        <x:v>Anvil</x:v>
      </x:c>
      <x:c r="D10" s="26" t="str">
        <x:v>Smithing</x:v>
      </x:c>
      <x:c r="E10" s="26" t="n">
        <x:v>18</x:v>
      </x:c>
      <x:c r="F10" s="26" t="str">
        <x:v>iron_bar</x:v>
      </x:c>
      <x:c r="G10" s="26" t="n">
        <x:v>2</x:v>
      </x:c>
      <x:c r="H10" s="26" t="str"/>
      <x:c r="I10" s="26" t="str"/>
      <x:c r="J10" s="26" t="str"/>
      <x:c r="K10" s="26" t="str"/>
      <x:c r="L10" s="26" t="str"/>
      <x:c r="M10" s="26" t="str"/>
      <x:c r="N10" s="26" t="str">
        <x:v>iron_sword</x:v>
      </x:c>
      <x:c r="O10" s="26" t="n">
        <x:v>1</x:v>
      </x:c>
      <x:c r="P10" s="26" t="n">
        <x:v>35</x:v>
      </x:c>
      <x:c r="Q10" s="26" t="str">
        <x:v>Early combat upgrade</x:v>
      </x:c>
      <x:c r="R10" s="34" t="n">
        <x:f>IFERROR(G10*XLOOKUP(F10,'Items Master'!$A:$A,'Items Master'!$J:$J,0),0)+IFERROR(I10*XLOOKUP(H10,'Items Master'!$A:$A,'Items Master'!$J:$J,0),0)+IFERROR(K10*XLOOKUP(J10,'Items Master'!$A:$A,'Items Master'!$J:$J,0),0)+IFERROR(M10*XLOOKUP(L10,'Items Master'!$A:$A,'Items Master'!$J:$J,0),0)</x:f>
        <x:v>76</x:v>
      </x:c>
      <x:c r="S10" s="34" t="n">
        <x:f>IFERROR(O10*XLOOKUP(N10,'Items Master'!$A:$A,'Items Master'!$J:$J,0),0)</x:f>
        <x:v>125</x:v>
      </x:c>
      <x:c r="T10" s="34" t="n">
        <x:f>S10-R10</x:f>
        <x:v>49</x:v>
      </x:c>
    </x:row>
    <x:row r="11" ht="15" hidden="0" customHeight="1">
      <x:c r="A11" s="26" t="str">
        <x:v>iron_shield</x:v>
      </x:c>
      <x:c r="B11" s="26" t="str">
        <x:v>Smith Iron Shield</x:v>
      </x:c>
      <x:c r="C11" s="26" t="str">
        <x:v>Anvil</x:v>
      </x:c>
      <x:c r="D11" s="26" t="str">
        <x:v>Smithing</x:v>
      </x:c>
      <x:c r="E11" s="26" t="n">
        <x:v>20</x:v>
      </x:c>
      <x:c r="F11" s="26" t="str">
        <x:v>iron_bar</x:v>
      </x:c>
      <x:c r="G11" s="26" t="n">
        <x:v>2</x:v>
      </x:c>
      <x:c r="H11" s="26" t="str">
        <x:v>oak_logs</x:v>
      </x:c>
      <x:c r="I11" s="26" t="n">
        <x:v>1</x:v>
      </x:c>
      <x:c r="J11" s="26" t="str"/>
      <x:c r="K11" s="26" t="str"/>
      <x:c r="L11" s="26" t="str"/>
      <x:c r="M11" s="26" t="str"/>
      <x:c r="N11" s="26" t="str">
        <x:v>iron_shield</x:v>
      </x:c>
      <x:c r="O11" s="26" t="n">
        <x:v>1</x:v>
      </x:c>
      <x:c r="P11" s="26" t="n">
        <x:v>40</x:v>
      </x:c>
      <x:c r="Q11" s="26" t="str">
        <x:v>Defence upgrade uses wood</x:v>
      </x:c>
      <x:c r="R11" s="34" t="n">
        <x:f>IFERROR(G11*XLOOKUP(F11,'Items Master'!$A:$A,'Items Master'!$J:$J,0),0)+IFERROR(I11*XLOOKUP(H11,'Items Master'!$A:$A,'Items Master'!$J:$J,0),0)+IFERROR(K11*XLOOKUP(J11,'Items Master'!$A:$A,'Items Master'!$J:$J,0),0)+IFERROR(M11*XLOOKUP(L11,'Items Master'!$A:$A,'Items Master'!$J:$J,0),0)</x:f>
        <x:v>84</x:v>
      </x:c>
      <x:c r="S11" s="34" t="n">
        <x:f>IFERROR(O11*XLOOKUP(N11,'Items Master'!$A:$A,'Items Master'!$J:$J,0),0)</x:f>
        <x:v>160</x:v>
      </x:c>
      <x:c r="T11" s="34" t="n">
        <x:f>S11-R11</x:f>
        <x:v>76</x:v>
      </x:c>
    </x:row>
    <x:row r="12" ht="15" hidden="0" customHeight="1">
      <x:c r="A12" s="26" t="str">
        <x:v>iron_nails</x:v>
      </x:c>
      <x:c r="B12" s="26" t="str">
        <x:v>Smith Iron Nails</x:v>
      </x:c>
      <x:c r="C12" s="26" t="str">
        <x:v>Anvil</x:v>
      </x:c>
      <x:c r="D12" s="26" t="str">
        <x:v>Smithing</x:v>
      </x:c>
      <x:c r="E12" s="26" t="n">
        <x:v>25</x:v>
      </x:c>
      <x:c r="F12" s="26" t="str">
        <x:v>iron_bar</x:v>
      </x:c>
      <x:c r="G12" s="26" t="n">
        <x:v>1</x:v>
      </x:c>
      <x:c r="H12" s="26" t="str"/>
      <x:c r="I12" s="26" t="str"/>
      <x:c r="J12" s="26" t="str"/>
      <x:c r="K12" s="26" t="str"/>
      <x:c r="L12" s="26" t="str"/>
      <x:c r="M12" s="26" t="str"/>
      <x:c r="N12" s="26" t="str">
        <x:v>iron_nails</x:v>
      </x:c>
      <x:c r="O12" s="26" t="n">
        <x:v>20</x:v>
      </x:c>
      <x:c r="P12" s="26" t="n">
        <x:v>22</x:v>
      </x:c>
      <x:c r="Q12" s="26" t="str">
        <x:v>Used for bridges/stations</x:v>
      </x:c>
      <x:c r="R12" s="34" t="n">
        <x:f>IFERROR(G12*XLOOKUP(F12,'Items Master'!$A:$A,'Items Master'!$J:$J,0),0)+IFERROR(I12*XLOOKUP(H12,'Items Master'!$A:$A,'Items Master'!$J:$J,0),0)+IFERROR(K12*XLOOKUP(J12,'Items Master'!$A:$A,'Items Master'!$J:$J,0),0)+IFERROR(M12*XLOOKUP(L12,'Items Master'!$A:$A,'Items Master'!$J:$J,0),0)</x:f>
        <x:v>38</x:v>
      </x:c>
      <x:c r="S12" s="34" t="n">
        <x:f>IFERROR(O12*XLOOKUP(N12,'Items Master'!$A:$A,'Items Master'!$J:$J,0),0)</x:f>
        <x:v>40</x:v>
      </x:c>
      <x:c r="T12" s="34" t="n">
        <x:f>S12-R12</x:f>
        <x:v>2</x:v>
      </x:c>
    </x:row>
    <x:row r="13" ht="15" hidden="0" customHeight="1">
      <x:c r="A13" s="26" t="str">
        <x:v>steel_spear</x:v>
      </x:c>
      <x:c r="B13" s="26" t="str">
        <x:v>Smith Steel Spear</x:v>
      </x:c>
      <x:c r="C13" s="26" t="str">
        <x:v>Anvil</x:v>
      </x:c>
      <x:c r="D13" s="26" t="str">
        <x:v>Smithing</x:v>
      </x:c>
      <x:c r="E13" s="26" t="n">
        <x:v>40</x:v>
      </x:c>
      <x:c r="F13" s="26" t="str">
        <x:v>steel_bar</x:v>
      </x:c>
      <x:c r="G13" s="26" t="n">
        <x:v>2</x:v>
      </x:c>
      <x:c r="H13" s="26" t="str">
        <x:v>oak_logs</x:v>
      </x:c>
      <x:c r="I13" s="26" t="n">
        <x:v>1</x:v>
      </x:c>
      <x:c r="J13" s="26" t="str"/>
      <x:c r="K13" s="26" t="str"/>
      <x:c r="L13" s="26" t="str"/>
      <x:c r="M13" s="26" t="str"/>
      <x:c r="N13" s="26" t="str">
        <x:v>steel_spear</x:v>
      </x:c>
      <x:c r="O13" s="26" t="n">
        <x:v>1</x:v>
      </x:c>
      <x:c r="P13" s="26" t="n">
        <x:v>65</x:v>
      </x:c>
      <x:c r="Q13" s="26" t="str">
        <x:v>Midgame reach weapon</x:v>
      </x:c>
      <x:c r="R13" s="34" t="n">
        <x:f>IFERROR(G13*XLOOKUP(F13,'Items Master'!$A:$A,'Items Master'!$J:$J,0),0)+IFERROR(I13*XLOOKUP(H13,'Items Master'!$A:$A,'Items Master'!$J:$J,0),0)+IFERROR(K13*XLOOKUP(J13,'Items Master'!$A:$A,'Items Master'!$J:$J,0),0)+IFERROR(M13*XLOOKUP(L13,'Items Master'!$A:$A,'Items Master'!$J:$J,0),0)</x:f>
        <x:v>198</x:v>
      </x:c>
      <x:c r="S13" s="34" t="n">
        <x:f>IFERROR(O13*XLOOKUP(N13,'Items Master'!$A:$A,'Items Master'!$J:$J,0),0)</x:f>
        <x:v>410</x:v>
      </x:c>
      <x:c r="T13" s="34" t="n">
        <x:f>S13-R13</x:f>
        <x:v>212</x:v>
      </x:c>
    </x:row>
    <x:row r="14" ht="15" hidden="0" customHeight="1">
      <x:c r="A14" s="26" t="str">
        <x:v>red_ear_spear</x:v>
      </x:c>
      <x:c r="B14" s="26" t="str">
        <x:v>Forge Red-Ear Spear</x:v>
      </x:c>
      <x:c r="C14" s="26" t="str">
        <x:v>Anvil</x:v>
      </x:c>
      <x:c r="D14" s="26" t="str">
        <x:v>Smithing</x:v>
      </x:c>
      <x:c r="E14" s="26" t="n">
        <x:v>55</x:v>
      </x:c>
      <x:c r="F14" s="26" t="str">
        <x:v>steel_spear</x:v>
      </x:c>
      <x:c r="G14" s="26" t="n">
        <x:v>1</x:v>
      </x:c>
      <x:c r="H14" s="26" t="str">
        <x:v>red_ear_spear_tip</x:v>
      </x:c>
      <x:c r="I14" s="26" t="n">
        <x:v>1</x:v>
      </x:c>
      <x:c r="J14" s="26" t="str">
        <x:v>black_iron_bar</x:v>
      </x:c>
      <x:c r="K14" s="26" t="n">
        <x:v>1</x:v>
      </x:c>
      <x:c r="L14" s="26" t="str"/>
      <x:c r="M14" s="26" t="str"/>
      <x:c r="N14" s="26" t="str">
        <x:v>red_ear_spear</x:v>
      </x:c>
      <x:c r="O14" s="26" t="n">
        <x:v>1</x:v>
      </x:c>
      <x:c r="P14" s="26" t="n">
        <x:v>150</x:v>
      </x:c>
      <x:c r="Q14" s="26" t="str">
        <x:v>Rival camp unique craft</x:v>
      </x:c>
      <x:c r="R14" s="34" t="n">
        <x:f>IFERROR(G14*XLOOKUP(F14,'Items Master'!$A:$A,'Items Master'!$J:$J,0),0)+IFERROR(I14*XLOOKUP(H14,'Items Master'!$A:$A,'Items Master'!$J:$J,0),0)+IFERROR(K14*XLOOKUP(J14,'Items Master'!$A:$A,'Items Master'!$J:$J,0),0)+IFERROR(M14*XLOOKUP(L14,'Items Master'!$A:$A,'Items Master'!$J:$J,0),0)</x:f>
        <x:v>1635</x:v>
      </x:c>
      <x:c r="S14" s="34" t="n">
        <x:f>IFERROR(O14*XLOOKUP(N14,'Items Master'!$A:$A,'Items Master'!$J:$J,0),0)</x:f>
        <x:v>1500</x:v>
      </x:c>
      <x:c r="T14" s="34" t="n">
        <x:f>S14-R14</x:f>
        <x:v>-135</x:v>
      </x:c>
    </x:row>
    <x:row r="15" ht="15" hidden="0" customHeight="1">
      <x:c r="A15" s="26" t="str">
        <x:v>bronze_arrows</x:v>
      </x:c>
      <x:c r="B15" s="26" t="str">
        <x:v>Make Bronze Arrows</x:v>
      </x:c>
      <x:c r="C15" s="26" t="str">
        <x:v>Anvil/Crafting Bench</x:v>
      </x:c>
      <x:c r="D15" s="26" t="str">
        <x:v>Smithing/Crafting</x:v>
      </x:c>
      <x:c r="E15" s="26" t="n">
        <x:v>10</x:v>
      </x:c>
      <x:c r="F15" s="26" t="str">
        <x:v>bronze_bar</x:v>
      </x:c>
      <x:c r="G15" s="26" t="n">
        <x:v>1</x:v>
      </x:c>
      <x:c r="H15" s="26" t="str">
        <x:v>normal_logs</x:v>
      </x:c>
      <x:c r="I15" s="26" t="n">
        <x:v>1</x:v>
      </x:c>
      <x:c r="J15" s="26" t="str"/>
      <x:c r="K15" s="26" t="str"/>
      <x:c r="L15" s="26" t="str"/>
      <x:c r="M15" s="26" t="str"/>
      <x:c r="N15" s="26" t="str">
        <x:v>bronze_arrows</x:v>
      </x:c>
      <x:c r="O15" s="26" t="n">
        <x:v>25</x:v>
      </x:c>
      <x:c r="P15" s="26" t="n">
        <x:v>18</x:v>
      </x:c>
      <x:c r="Q15" s="26" t="str">
        <x:v>Mining+woodcutting feed ranged</x:v>
      </x:c>
      <x:c r="R15" s="34" t="n">
        <x:f>IFERROR(G15*XLOOKUP(F15,'Items Master'!$A:$A,'Items Master'!$J:$J,0),0)+IFERROR(I15*XLOOKUP(H15,'Items Master'!$A:$A,'Items Master'!$J:$J,0),0)+IFERROR(K15*XLOOKUP(J15,'Items Master'!$A:$A,'Items Master'!$J:$J,0),0)+IFERROR(M15*XLOOKUP(L15,'Items Master'!$A:$A,'Items Master'!$J:$J,0),0)</x:f>
        <x:v>14</x:v>
      </x:c>
      <x:c r="S15" s="34" t="n">
        <x:f>IFERROR(O15*XLOOKUP(N15,'Items Master'!$A:$A,'Items Master'!$J:$J,0),0)</x:f>
        <x:v>50</x:v>
      </x:c>
      <x:c r="T15" s="34" t="n">
        <x:f>S15-R15</x:f>
        <x:v>36</x:v>
      </x:c>
    </x:row>
    <x:row r="16" ht="15" hidden="0" customHeight="1">
      <x:c r="A16" s="26" t="str">
        <x:v>iron_arrows</x:v>
      </x:c>
      <x:c r="B16" s="26" t="str">
        <x:v>Make Iron Arrows</x:v>
      </x:c>
      <x:c r="C16" s="26" t="str">
        <x:v>Anvil/Crafting Bench</x:v>
      </x:c>
      <x:c r="D16" s="26" t="str">
        <x:v>Smithing/Crafting</x:v>
      </x:c>
      <x:c r="E16" s="26" t="n">
        <x:v>20</x:v>
      </x:c>
      <x:c r="F16" s="26" t="str">
        <x:v>iron_bar</x:v>
      </x:c>
      <x:c r="G16" s="26" t="n">
        <x:v>1</x:v>
      </x:c>
      <x:c r="H16" s="26" t="str">
        <x:v>normal_logs</x:v>
      </x:c>
      <x:c r="I16" s="26" t="n">
        <x:v>1</x:v>
      </x:c>
      <x:c r="J16" s="26" t="str"/>
      <x:c r="K16" s="26" t="str"/>
      <x:c r="L16" s="26" t="str"/>
      <x:c r="M16" s="26" t="str"/>
      <x:c r="N16" s="26" t="str">
        <x:v>iron_arrows</x:v>
      </x:c>
      <x:c r="O16" s="26" t="n">
        <x:v>25</x:v>
      </x:c>
      <x:c r="P16" s="26" t="n">
        <x:v>30</x:v>
      </x:c>
      <x:c r="Q16" s="26" t="str">
        <x:v>Ranged ammo sink</x:v>
      </x:c>
      <x:c r="R16" s="34" t="n">
        <x:f>IFERROR(G16*XLOOKUP(F16,'Items Master'!$A:$A,'Items Master'!$J:$J,0),0)+IFERROR(I16*XLOOKUP(H16,'Items Master'!$A:$A,'Items Master'!$J:$J,0),0)+IFERROR(K16*XLOOKUP(J16,'Items Master'!$A:$A,'Items Master'!$J:$J,0),0)+IFERROR(M16*XLOOKUP(L16,'Items Master'!$A:$A,'Items Master'!$J:$J,0),0)</x:f>
        <x:v>40</x:v>
      </x:c>
      <x:c r="S16" s="34" t="n">
        <x:f>IFERROR(O16*XLOOKUP(N16,'Items Master'!$A:$A,'Items Master'!$J:$J,0),0)</x:f>
        <x:v>125</x:v>
      </x:c>
      <x:c r="T16" s="34" t="n">
        <x:f>S16-R16</x:f>
        <x:v>85</x:v>
      </x:c>
    </x:row>
    <x:row r="17" ht="15" hidden="0" customHeight="1">
      <x:c r="A17" s="26" t="str">
        <x:v>poison_arrows</x:v>
      </x:c>
      <x:c r="B17" s="26" t="str">
        <x:v>Make Poison Arrows</x:v>
      </x:c>
      <x:c r="C17" s="26" t="str">
        <x:v>Crafting Bench</x:v>
      </x:c>
      <x:c r="D17" s="26" t="str">
        <x:v>Crafting</x:v>
      </x:c>
      <x:c r="E17" s="26" t="n">
        <x:v>35</x:v>
      </x:c>
      <x:c r="F17" s="26" t="str">
        <x:v>iron_arrows</x:v>
      </x:c>
      <x:c r="G17" s="26" t="n">
        <x:v>25</x:v>
      </x:c>
      <x:c r="H17" s="26" t="str">
        <x:v>poison_gland</x:v>
      </x:c>
      <x:c r="I17" s="26" t="n">
        <x:v>1</x:v>
      </x:c>
      <x:c r="J17" s="26" t="str">
        <x:v>deadwood_logs</x:v>
      </x:c>
      <x:c r="K17" s="26" t="n">
        <x:v>1</x:v>
      </x:c>
      <x:c r="L17" s="26" t="str"/>
      <x:c r="M17" s="26" t="str"/>
      <x:c r="N17" s="26" t="str">
        <x:v>poison_arrows</x:v>
      </x:c>
      <x:c r="O17" s="26" t="n">
        <x:v>25</x:v>
      </x:c>
      <x:c r="P17" s="26" t="n">
        <x:v>55</x:v>
      </x:c>
      <x:c r="Q17" s="26" t="str">
        <x:v>Monster drops + swamp wood</x:v>
      </x:c>
      <x:c r="R17" s="34" t="n">
        <x:f>IFERROR(G17*XLOOKUP(F17,'Items Master'!$A:$A,'Items Master'!$J:$J,0),0)+IFERROR(I17*XLOOKUP(H17,'Items Master'!$A:$A,'Items Master'!$J:$J,0),0)+IFERROR(K17*XLOOKUP(J17,'Items Master'!$A:$A,'Items Master'!$J:$J,0),0)+IFERROR(M17*XLOOKUP(L17,'Items Master'!$A:$A,'Items Master'!$J:$J,0),0)</x:f>
        <x:v>178</x:v>
      </x:c>
      <x:c r="S17" s="34" t="n">
        <x:f>IFERROR(O17*XLOOKUP(N17,'Items Master'!$A:$A,'Items Master'!$J:$J,0),0)</x:f>
        <x:v>300</x:v>
      </x:c>
      <x:c r="T17" s="34" t="n">
        <x:f>S17-R17</x:f>
        <x:v>122</x:v>
      </x:c>
    </x:row>
    <x:row r="18" ht="15" hidden="0" customHeight="1">
      <x:c r="A18" s="26" t="str">
        <x:v>steel_arrows</x:v>
      </x:c>
      <x:c r="B18" s="26" t="str">
        <x:v>Make Steel Arrows</x:v>
      </x:c>
      <x:c r="C18" s="26" t="str">
        <x:v>Anvil/Crafting Bench</x:v>
      </x:c>
      <x:c r="D18" s="26" t="str">
        <x:v>Smithing/Crafting</x:v>
      </x:c>
      <x:c r="E18" s="26" t="n">
        <x:v>45</x:v>
      </x:c>
      <x:c r="F18" s="26" t="str">
        <x:v>steel_bar</x:v>
      </x:c>
      <x:c r="G18" s="26" t="n">
        <x:v>1</x:v>
      </x:c>
      <x:c r="H18" s="26" t="str">
        <x:v>oak_logs</x:v>
      </x:c>
      <x:c r="I18" s="26" t="n">
        <x:v>1</x:v>
      </x:c>
      <x:c r="J18" s="26" t="str"/>
      <x:c r="K18" s="26" t="str"/>
      <x:c r="L18" s="26" t="str"/>
      <x:c r="M18" s="26" t="str"/>
      <x:c r="N18" s="26" t="str">
        <x:v>steel_arrows</x:v>
      </x:c>
      <x:c r="O18" s="26" t="n">
        <x:v>25</x:v>
      </x:c>
      <x:c r="P18" s="26" t="n">
        <x:v>60</x:v>
      </x:c>
      <x:c r="Q18" s="26" t="str">
        <x:v>Midgame ammo</x:v>
      </x:c>
      <x:c r="R18" s="34" t="n">
        <x:f>IFERROR(G18*XLOOKUP(F18,'Items Master'!$A:$A,'Items Master'!$J:$J,0),0)+IFERROR(I18*XLOOKUP(H18,'Items Master'!$A:$A,'Items Master'!$J:$J,0),0)+IFERROR(K18*XLOOKUP(J18,'Items Master'!$A:$A,'Items Master'!$J:$J,0),0)+IFERROR(M18*XLOOKUP(L18,'Items Master'!$A:$A,'Items Master'!$J:$J,0),0)</x:f>
        <x:v>103</x:v>
      </x:c>
      <x:c r="S18" s="34" t="n">
        <x:f>IFERROR(O18*XLOOKUP(N18,'Items Master'!$A:$A,'Items Master'!$J:$J,0),0)</x:f>
        <x:v>250</x:v>
      </x:c>
      <x:c r="T18" s="34" t="n">
        <x:f>S18-R18</x:f>
        <x:v>147</x:v>
      </x:c>
    </x:row>
    <x:row r="19" ht="15" hidden="0" customHeight="1">
      <x:c r="A19" s="26" t="str">
        <x:v>bowstring</x:v>
      </x:c>
      <x:c r="B19" s="26" t="str">
        <x:v>Spin Bowstring</x:v>
      </x:c>
      <x:c r="C19" s="26" t="str">
        <x:v>Crafting Bench</x:v>
      </x:c>
      <x:c r="D19" s="26" t="str">
        <x:v>Crafting</x:v>
      </x:c>
      <x:c r="E19" s="26" t="n">
        <x:v>8</x:v>
      </x:c>
      <x:c r="F19" s="26" t="str">
        <x:v>spider_silk</x:v>
      </x:c>
      <x:c r="G19" s="26" t="n">
        <x:v>2</x:v>
      </x:c>
      <x:c r="H19" s="26" t="str"/>
      <x:c r="I19" s="26" t="str"/>
      <x:c r="J19" s="26" t="str"/>
      <x:c r="K19" s="26" t="str"/>
      <x:c r="L19" s="26" t="str"/>
      <x:c r="M19" s="26" t="str"/>
      <x:c r="N19" s="26" t="str">
        <x:v>bowstring</x:v>
      </x:c>
      <x:c r="O19" s="26" t="n">
        <x:v>1</x:v>
      </x:c>
      <x:c r="P19" s="26" t="n">
        <x:v>15</x:v>
      </x:c>
      <x:c r="Q19" s="26" t="str">
        <x:v>Spider drops feed ranged</x:v>
      </x:c>
      <x:c r="R19" s="34" t="n">
        <x:f>IFERROR(G19*XLOOKUP(F19,'Items Master'!$A:$A,'Items Master'!$J:$J,0),0)+IFERROR(I19*XLOOKUP(H19,'Items Master'!$A:$A,'Items Master'!$J:$J,0),0)+IFERROR(K19*XLOOKUP(J19,'Items Master'!$A:$A,'Items Master'!$J:$J,0),0)+IFERROR(M19*XLOOKUP(L19,'Items Master'!$A:$A,'Items Master'!$J:$J,0),0)</x:f>
        <x:v>36</x:v>
      </x:c>
      <x:c r="S19" s="34" t="n">
        <x:f>IFERROR(O19*XLOOKUP(N19,'Items Master'!$A:$A,'Items Master'!$J:$J,0),0)</x:f>
        <x:v>25</x:v>
      </x:c>
      <x:c r="T19" s="34" t="n">
        <x:f>S19-R19</x:f>
        <x:v>-11</x:v>
      </x:c>
    </x:row>
    <x:row r="20" ht="15" hidden="0" customHeight="1">
      <x:c r="A20" s="26" t="str">
        <x:v>crude_bow</x:v>
      </x:c>
      <x:c r="B20" s="26" t="str">
        <x:v>Craft Crude Bow</x:v>
      </x:c>
      <x:c r="C20" s="26" t="str">
        <x:v>Crafting Bench</x:v>
      </x:c>
      <x:c r="D20" s="26" t="str">
        <x:v>Crafting</x:v>
      </x:c>
      <x:c r="E20" s="26" t="n">
        <x:v>10</x:v>
      </x:c>
      <x:c r="F20" s="26" t="str">
        <x:v>normal_logs</x:v>
      </x:c>
      <x:c r="G20" s="26" t="n">
        <x:v>1</x:v>
      </x:c>
      <x:c r="H20" s="26" t="str">
        <x:v>bowstring</x:v>
      </x:c>
      <x:c r="I20" s="26" t="n">
        <x:v>1</x:v>
      </x:c>
      <x:c r="J20" s="26" t="str"/>
      <x:c r="K20" s="26" t="str"/>
      <x:c r="L20" s="26" t="str"/>
      <x:c r="M20" s="26" t="str"/>
      <x:c r="N20" s="26" t="str">
        <x:v>crude_bow</x:v>
      </x:c>
      <x:c r="O20" s="26" t="n">
        <x:v>1</x:v>
      </x:c>
      <x:c r="P20" s="26" t="n">
        <x:v>20</x:v>
      </x:c>
      <x:c r="Q20" s="26" t="str">
        <x:v>First crafted ranged weapon</x:v>
      </x:c>
      <x:c r="R20" s="34" t="n">
        <x:f>IFERROR(G20*XLOOKUP(F20,'Items Master'!$A:$A,'Items Master'!$J:$J,0),0)+IFERROR(I20*XLOOKUP(H20,'Items Master'!$A:$A,'Items Master'!$J:$J,0),0)+IFERROR(K20*XLOOKUP(J20,'Items Master'!$A:$A,'Items Master'!$J:$J,0),0)+IFERROR(M20*XLOOKUP(L20,'Items Master'!$A:$A,'Items Master'!$J:$J,0),0)</x:f>
        <x:v>27</x:v>
      </x:c>
      <x:c r="S20" s="34" t="n">
        <x:f>IFERROR(O20*XLOOKUP(N20,'Items Master'!$A:$A,'Items Master'!$J:$J,0),0)</x:f>
        <x:v>30</x:v>
      </x:c>
      <x:c r="T20" s="34" t="n">
        <x:f>S20-R20</x:f>
        <x:v>3</x:v>
      </x:c>
    </x:row>
    <x:row r="21" ht="15" hidden="0" customHeight="1">
      <x:c r="A21" s="26" t="str">
        <x:v>oak_bow</x:v>
      </x:c>
      <x:c r="B21" s="26" t="str">
        <x:v>Craft Oak Bow</x:v>
      </x:c>
      <x:c r="C21" s="26" t="str">
        <x:v>Crafting Bench</x:v>
      </x:c>
      <x:c r="D21" s="26" t="str">
        <x:v>Crafting</x:v>
      </x:c>
      <x:c r="E21" s="26" t="n">
        <x:v>15</x:v>
      </x:c>
      <x:c r="F21" s="26" t="str">
        <x:v>oak_logs</x:v>
      </x:c>
      <x:c r="G21" s="26" t="n">
        <x:v>1</x:v>
      </x:c>
      <x:c r="H21" s="26" t="str">
        <x:v>bowstring</x:v>
      </x:c>
      <x:c r="I21" s="26" t="n">
        <x:v>1</x:v>
      </x:c>
      <x:c r="J21" s="26" t="str"/>
      <x:c r="K21" s="26" t="str"/>
      <x:c r="L21" s="26" t="str"/>
      <x:c r="M21" s="26" t="str"/>
      <x:c r="N21" s="26" t="str">
        <x:v>oak_bow</x:v>
      </x:c>
      <x:c r="O21" s="26" t="n">
        <x:v>1</x:v>
      </x:c>
      <x:c r="P21" s="26" t="n">
        <x:v>35</x:v>
      </x:c>
      <x:c r="Q21" s="26" t="str">
        <x:v>Oak region supports ranged</x:v>
      </x:c>
      <x:c r="R21" s="34" t="n">
        <x:f>IFERROR(G21*XLOOKUP(F21,'Items Master'!$A:$A,'Items Master'!$J:$J,0),0)+IFERROR(I21*XLOOKUP(H21,'Items Master'!$A:$A,'Items Master'!$J:$J,0),0)+IFERROR(K21*XLOOKUP(J21,'Items Master'!$A:$A,'Items Master'!$J:$J,0),0)+IFERROR(M21*XLOOKUP(L21,'Items Master'!$A:$A,'Items Master'!$J:$J,0),0)</x:f>
        <x:v>33</x:v>
      </x:c>
      <x:c r="S21" s="34" t="n">
        <x:f>IFERROR(O21*XLOOKUP(N21,'Items Master'!$A:$A,'Items Master'!$J:$J,0),0)</x:f>
        <x:v>100</x:v>
      </x:c>
      <x:c r="T21" s="34" t="n">
        <x:f>S21-R21</x:f>
        <x:v>67</x:v>
      </x:c>
    </x:row>
    <x:row r="22" ht="15" hidden="0" customHeight="1">
      <x:c r="A22" s="26" t="str">
        <x:v>willow_bow</x:v>
      </x:c>
      <x:c r="B22" s="26" t="str">
        <x:v>Craft Willow Bow</x:v>
      </x:c>
      <x:c r="C22" s="26" t="str">
        <x:v>Crafting Bench</x:v>
      </x:c>
      <x:c r="D22" s="26" t="str">
        <x:v>Crafting</x:v>
      </x:c>
      <x:c r="E22" s="26" t="n">
        <x:v>30</x:v>
      </x:c>
      <x:c r="F22" s="26" t="str">
        <x:v>willow_logs</x:v>
      </x:c>
      <x:c r="G22" s="26" t="n">
        <x:v>1</x:v>
      </x:c>
      <x:c r="H22" s="26" t="str">
        <x:v>bowstring</x:v>
      </x:c>
      <x:c r="I22" s="26" t="n">
        <x:v>1</x:v>
      </x:c>
      <x:c r="J22" s="26" t="str"/>
      <x:c r="K22" s="26" t="str"/>
      <x:c r="L22" s="26" t="str"/>
      <x:c r="M22" s="26" t="str"/>
      <x:c r="N22" s="26" t="str">
        <x:v>willow_bow</x:v>
      </x:c>
      <x:c r="O22" s="26" t="n">
        <x:v>1</x:v>
      </x:c>
      <x:c r="P22" s="26" t="n">
        <x:v>70</x:v>
      </x:c>
      <x:c r="Q22" s="26" t="str">
        <x:v>Riverlands ranged upgrade</x:v>
      </x:c>
      <x:c r="R22" s="34" t="n">
        <x:f>IFERROR(G22*XLOOKUP(F22,'Items Master'!$A:$A,'Items Master'!$J:$J,0),0)+IFERROR(I22*XLOOKUP(H22,'Items Master'!$A:$A,'Items Master'!$J:$J,0),0)+IFERROR(K22*XLOOKUP(J22,'Items Master'!$A:$A,'Items Master'!$J:$J,0),0)+IFERROR(M22*XLOOKUP(L22,'Items Master'!$A:$A,'Items Master'!$J:$J,0),0)</x:f>
        <x:v>40</x:v>
      </x:c>
      <x:c r="S22" s="34" t="n">
        <x:f>IFERROR(O22*XLOOKUP(N22,'Items Master'!$A:$A,'Items Master'!$J:$J,0),0)</x:f>
        <x:v>240</x:v>
      </x:c>
      <x:c r="T22" s="34" t="n">
        <x:f>S22-R22</x:f>
        <x:v>200</x:v>
      </x:c>
    </x:row>
    <x:row r="23" ht="15" hidden="0" customHeight="1">
      <x:c r="A23" s="26" t="str">
        <x:v>blackroot_bow</x:v>
      </x:c>
      <x:c r="B23" s="26" t="str">
        <x:v>Craft Blackroot Bow</x:v>
      </x:c>
      <x:c r="C23" s="26" t="str">
        <x:v>Crafting Bench</x:v>
      </x:c>
      <x:c r="D23" s="26" t="str">
        <x:v>Crafting</x:v>
      </x:c>
      <x:c r="E23" s="26" t="n">
        <x:v>60</x:v>
      </x:c>
      <x:c r="F23" s="26" t="str">
        <x:v>blackroot_logs</x:v>
      </x:c>
      <x:c r="G23" s="26" t="n">
        <x:v>1</x:v>
      </x:c>
      <x:c r="H23" s="26" t="str">
        <x:v>bowstring</x:v>
      </x:c>
      <x:c r="I23" s="26" t="n">
        <x:v>1</x:v>
      </x:c>
      <x:c r="J23" s="26" t="str">
        <x:v>poison_gland</x:v>
      </x:c>
      <x:c r="K23" s="26" t="n">
        <x:v>2</x:v>
      </x:c>
      <x:c r="L23" s="26" t="str"/>
      <x:c r="M23" s="26" t="str"/>
      <x:c r="N23" s="26" t="str">
        <x:v>blackroot_bow</x:v>
      </x:c>
      <x:c r="O23" s="26" t="n">
        <x:v>1</x:v>
      </x:c>
      <x:c r="P23" s="26" t="n">
        <x:v>180</x:v>
      </x:c>
      <x:c r="Q23" s="26" t="str">
        <x:v>Deep swamp ranged upgrade</x:v>
      </x:c>
      <x:c r="R23" s="34" t="n">
        <x:f>IFERROR(G23*XLOOKUP(F23,'Items Master'!$A:$A,'Items Master'!$J:$J,0),0)+IFERROR(I23*XLOOKUP(H23,'Items Master'!$A:$A,'Items Master'!$J:$J,0),0)+IFERROR(K23*XLOOKUP(J23,'Items Master'!$A:$A,'Items Master'!$J:$J,0),0)+IFERROR(M23*XLOOKUP(L23,'Items Master'!$A:$A,'Items Master'!$J:$J,0),0)</x:f>
        <x:v>155</x:v>
      </x:c>
      <x:c r="S23" s="34" t="n">
        <x:f>IFERROR(O23*XLOOKUP(N23,'Items Master'!$A:$A,'Items Master'!$J:$J,0),0)</x:f>
        <x:v>780</x:v>
      </x:c>
      <x:c r="T23" s="34" t="n">
        <x:f>S23-R23</x:f>
        <x:v>625</x:v>
      </x:c>
    </x:row>
    <x:row r="24" ht="15" hidden="0" customHeight="1">
      <x:c r="A24" s="26" t="str">
        <x:v>clay_bowl</x:v>
      </x:c>
      <x:c r="B24" s="26" t="str">
        <x:v>Shape Clay Bowl</x:v>
      </x:c>
      <x:c r="C24" s="26" t="str">
        <x:v>Crafting Bench</x:v>
      </x:c>
      <x:c r="D24" s="26" t="str">
        <x:v>Crafting</x:v>
      </x:c>
      <x:c r="E24" s="26" t="n">
        <x:v>3</x:v>
      </x:c>
      <x:c r="F24" s="26" t="str">
        <x:v>clay</x:v>
      </x:c>
      <x:c r="G24" s="26" t="n">
        <x:v>1</x:v>
      </x:c>
      <x:c r="H24" s="26" t="str"/>
      <x:c r="I24" s="26" t="str"/>
      <x:c r="J24" s="26" t="str"/>
      <x:c r="K24" s="26" t="str"/>
      <x:c r="L24" s="26" t="str"/>
      <x:c r="M24" s="26" t="str"/>
      <x:c r="N24" s="26" t="str">
        <x:v>clay_bowl</x:v>
      </x:c>
      <x:c r="O24" s="26" t="n">
        <x:v>1</x:v>
      </x:c>
      <x:c r="P24" s="26" t="n">
        <x:v>8</x:v>
      </x:c>
      <x:c r="Q24" s="26" t="str">
        <x:v>Bowl required for stews</x:v>
      </x:c>
      <x:c r="R24" s="34" t="n">
        <x:f>IFERROR(G24*XLOOKUP(F24,'Items Master'!$A:$A,'Items Master'!$J:$J,0),0)+IFERROR(I24*XLOOKUP(H24,'Items Master'!$A:$A,'Items Master'!$J:$J,0),0)+IFERROR(K24*XLOOKUP(J24,'Items Master'!$A:$A,'Items Master'!$J:$J,0),0)+IFERROR(M24*XLOOKUP(L24,'Items Master'!$A:$A,'Items Master'!$J:$J,0),0)</x:f>
        <x:v>5</x:v>
      </x:c>
      <x:c r="S24" s="34" t="n">
        <x:f>IFERROR(O24*XLOOKUP(N24,'Items Master'!$A:$A,'Items Master'!$J:$J,0),0)</x:f>
        <x:v>8</x:v>
      </x:c>
      <x:c r="T24" s="34" t="n">
        <x:f>S24-R24</x:f>
        <x:v>3</x:v>
      </x:c>
    </x:row>
    <x:row r="25" ht="15" hidden="0" customHeight="1">
      <x:c r="A25" s="26" t="str">
        <x:v>leather_body</x:v>
      </x:c>
      <x:c r="B25" s="26" t="str">
        <x:v>Craft Leather Body</x:v>
      </x:c>
      <x:c r="C25" s="26" t="str">
        <x:v>Crafting Bench</x:v>
      </x:c>
      <x:c r="D25" s="26" t="str">
        <x:v>Crafting</x:v>
      </x:c>
      <x:c r="E25" s="26" t="n">
        <x:v>15</x:v>
      </x:c>
      <x:c r="F25" s="26" t="str">
        <x:v>tough_hide</x:v>
      </x:c>
      <x:c r="G25" s="26" t="n">
        <x:v>2</x:v>
      </x:c>
      <x:c r="H25" s="26" t="str">
        <x:v>spider_silk</x:v>
      </x:c>
      <x:c r="I25" s="26" t="n">
        <x:v>1</x:v>
      </x:c>
      <x:c r="J25" s="26" t="str"/>
      <x:c r="K25" s="26" t="str"/>
      <x:c r="L25" s="26" t="str"/>
      <x:c r="M25" s="26" t="str"/>
      <x:c r="N25" s="26" t="str">
        <x:v>leather_body</x:v>
      </x:c>
      <x:c r="O25" s="26" t="n">
        <x:v>1</x:v>
      </x:c>
      <x:c r="P25" s="26" t="n">
        <x:v>45</x:v>
      </x:c>
      <x:c r="Q25" s="26" t="str">
        <x:v>Boars/spiders feed defence</x:v>
      </x:c>
      <x:c r="R25" s="34" t="n">
        <x:f>IFERROR(G25*XLOOKUP(F25,'Items Master'!$A:$A,'Items Master'!$J:$J,0),0)+IFERROR(I25*XLOOKUP(H25,'Items Master'!$A:$A,'Items Master'!$J:$J,0),0)+IFERROR(K25*XLOOKUP(J25,'Items Master'!$A:$A,'Items Master'!$J:$J,0),0)+IFERROR(M25*XLOOKUP(L25,'Items Master'!$A:$A,'Items Master'!$J:$J,0),0)</x:f>
        <x:v>68</x:v>
      </x:c>
      <x:c r="S25" s="34" t="n">
        <x:f>IFERROR(O25*XLOOKUP(N25,'Items Master'!$A:$A,'Items Master'!$J:$J,0),0)</x:f>
        <x:v>120</x:v>
      </x:c>
      <x:c r="T25" s="34" t="n">
        <x:f>S25-R25</x:f>
        <x:v>52</x:v>
      </x:c>
    </x:row>
    <x:row r="26" ht="15" hidden="0" customHeight="1">
      <x:c r="A26" s="26" t="str">
        <x:v>goblin_charm</x:v>
      </x:c>
      <x:c r="B26" s="26" t="str">
        <x:v>Craft Goblin Charm</x:v>
      </x:c>
      <x:c r="C26" s="26" t="str">
        <x:v>Crafting Bench</x:v>
      </x:c>
      <x:c r="D26" s="26" t="str">
        <x:v>Crafting</x:v>
      </x:c>
      <x:c r="E26" s="26" t="n">
        <x:v>25</x:v>
      </x:c>
      <x:c r="F26" s="26" t="str">
        <x:v>bones</x:v>
      </x:c>
      <x:c r="G26" s="26" t="n">
        <x:v>2</x:v>
      </x:c>
      <x:c r="H26" s="26" t="str">
        <x:v>swamp_herb</x:v>
      </x:c>
      <x:c r="I26" s="26" t="n">
        <x:v>1</x:v>
      </x:c>
      <x:c r="J26" s="26" t="str">
        <x:v>deadwood_logs</x:v>
      </x:c>
      <x:c r="K26" s="26" t="n">
        <x:v>1</x:v>
      </x:c>
      <x:c r="L26" s="26" t="str"/>
      <x:c r="M26" s="26" t="str"/>
      <x:c r="N26" s="26" t="str">
        <x:v>goblin_charm</x:v>
      </x:c>
      <x:c r="O26" s="26" t="n">
        <x:v>1</x:v>
      </x:c>
      <x:c r="P26" s="26" t="n">
        <x:v>75</x:v>
      </x:c>
      <x:c r="Q26" s="26" t="str">
        <x:v>Swamp access item</x:v>
      </x:c>
      <x:c r="R26" s="34" t="n">
        <x:f>IFERROR(G26*XLOOKUP(F26,'Items Master'!$A:$A,'Items Master'!$J:$J,0),0)+IFERROR(I26*XLOOKUP(H26,'Items Master'!$A:$A,'Items Master'!$J:$J,0),0)+IFERROR(K26*XLOOKUP(J26,'Items Master'!$A:$A,'Items Master'!$J:$J,0),0)+IFERROR(M26*XLOOKUP(L26,'Items Master'!$A:$A,'Items Master'!$J:$J,0),0)</x:f>
        <x:v>73</x:v>
      </x:c>
      <x:c r="S26" s="34" t="n">
        <x:f>IFERROR(O26*XLOOKUP(N26,'Items Master'!$A:$A,'Items Master'!$J:$J,0),0)</x:f>
        <x:v>10</x:v>
      </x:c>
      <x:c r="T26" s="34" t="n">
        <x:f>S26-R26</x:f>
        <x:v>-63</x:v>
      </x:c>
    </x:row>
    <x:row r="27" ht="15" hidden="0" customHeight="1">
      <x:c r="A27" s="26" t="str">
        <x:v>reinforced_bag</x:v>
      </x:c>
      <x:c r="B27" s="26" t="str">
        <x:v>Craft Reinforced Bag</x:v>
      </x:c>
      <x:c r="C27" s="26" t="str">
        <x:v>Crafting Bench</x:v>
      </x:c>
      <x:c r="D27" s="26" t="str">
        <x:v>Crafting</x:v>
      </x:c>
      <x:c r="E27" s="26" t="n">
        <x:v>30</x:v>
      </x:c>
      <x:c r="F27" s="26" t="str">
        <x:v>tough_hide</x:v>
      </x:c>
      <x:c r="G27" s="26" t="n">
        <x:v>2</x:v>
      </x:c>
      <x:c r="H27" s="26" t="str">
        <x:v>iron_bar</x:v>
      </x:c>
      <x:c r="I27" s="26" t="n">
        <x:v>1</x:v>
      </x:c>
      <x:c r="J27" s="26" t="str">
        <x:v>spider_silk</x:v>
      </x:c>
      <x:c r="K27" s="26" t="n">
        <x:v>2</x:v>
      </x:c>
      <x:c r="L27" s="26" t="str"/>
      <x:c r="M27" s="26" t="str"/>
      <x:c r="N27" s="26" t="str">
        <x:v>reinforced_bag</x:v>
      </x:c>
      <x:c r="O27" s="26" t="n">
        <x:v>1</x:v>
      </x:c>
      <x:c r="P27" s="26" t="n">
        <x:v>100</x:v>
      </x:c>
      <x:c r="Q27" s="26" t="str">
        <x:v>Inventory upgrade</x:v>
      </x:c>
      <x:c r="R27" s="34" t="n">
        <x:f>IFERROR(G27*XLOOKUP(F27,'Items Master'!$A:$A,'Items Master'!$J:$J,0),0)+IFERROR(I27*XLOOKUP(H27,'Items Master'!$A:$A,'Items Master'!$J:$J,0),0)+IFERROR(K27*XLOOKUP(J27,'Items Master'!$A:$A,'Items Master'!$J:$J,0),0)+IFERROR(M27*XLOOKUP(L27,'Items Master'!$A:$A,'Items Master'!$J:$J,0),0)</x:f>
        <x:v>124</x:v>
      </x:c>
      <x:c r="S27" s="34" t="n">
        <x:f>IFERROR(O27*XLOOKUP(N27,'Items Master'!$A:$A,'Items Master'!$J:$J,0),0)</x:f>
        <x:v>350</x:v>
      </x:c>
      <x:c r="T27" s="34" t="n">
        <x:f>S27-R27</x:f>
        <x:v>226</x:v>
      </x:c>
    </x:row>
    <x:row r="28" ht="15" hidden="0" customHeight="1">
      <x:c r="A28" s="26" t="str">
        <x:v>bone_amulet</x:v>
      </x:c>
      <x:c r="B28" s="26" t="str">
        <x:v>Craft Bone Amulet</x:v>
      </x:c>
      <x:c r="C28" s="26" t="str">
        <x:v>Crafting Bench</x:v>
      </x:c>
      <x:c r="D28" s="26" t="str">
        <x:v>Crafting</x:v>
      </x:c>
      <x:c r="E28" s="26" t="n">
        <x:v>40</x:v>
      </x:c>
      <x:c r="F28" s="26" t="str">
        <x:v>bones</x:v>
      </x:c>
      <x:c r="G28" s="26" t="n">
        <x:v>5</x:v>
      </x:c>
      <x:c r="H28" s="26" t="str">
        <x:v>amulet_cord</x:v>
      </x:c>
      <x:c r="I28" s="26" t="n">
        <x:v>1</x:v>
      </x:c>
      <x:c r="J28" s="26" t="str"/>
      <x:c r="K28" s="26" t="str"/>
      <x:c r="L28" s="26" t="str"/>
      <x:c r="M28" s="26" t="str"/>
      <x:c r="N28" s="26" t="str">
        <x:v>bone_amulet</x:v>
      </x:c>
      <x:c r="O28" s="26" t="n">
        <x:v>1</x:v>
      </x:c>
      <x:c r="P28" s="26" t="n">
        <x:v>95</x:v>
      </x:c>
      <x:c r="Q28" s="26" t="str">
        <x:v>Prayer/shrine utility</x:v>
      </x:c>
      <x:c r="R28" s="34" t="n">
        <x:f>IFERROR(G28*XLOOKUP(F28,'Items Master'!$A:$A,'Items Master'!$J:$J,0),0)+IFERROR(I28*XLOOKUP(H28,'Items Master'!$A:$A,'Items Master'!$J:$J,0),0)+IFERROR(K28*XLOOKUP(J28,'Items Master'!$A:$A,'Items Master'!$J:$J,0),0)+IFERROR(M28*XLOOKUP(L28,'Items Master'!$A:$A,'Items Master'!$J:$J,0),0)</x:f>
        <x:v>40</x:v>
      </x:c>
      <x:c r="S28" s="34" t="n">
        <x:f>IFERROR(O28*XLOOKUP(N28,'Items Master'!$A:$A,'Items Master'!$J:$J,0),0)</x:f>
        <x:v>16</x:v>
      </x:c>
      <x:c r="T28" s="34" t="n">
        <x:f>S28-R28</x:f>
        <x:v>-24</x:v>
      </x:c>
    </x:row>
    <x:row r="29" ht="15" hidden="0" customHeight="1">
      <x:c r="A29" s="26" t="str">
        <x:v>gem_ring</x:v>
      </x:c>
      <x:c r="B29" s="26" t="str">
        <x:v>Craft Gem Ring</x:v>
      </x:c>
      <x:c r="C29" s="26" t="str">
        <x:v>Crafting Bench</x:v>
      </x:c>
      <x:c r="D29" s="26" t="str">
        <x:v>Crafting</x:v>
      </x:c>
      <x:c r="E29" s="26" t="n">
        <x:v>50</x:v>
      </x:c>
      <x:c r="F29" s="26" t="str">
        <x:v>gold_bar</x:v>
      </x:c>
      <x:c r="G29" s="26" t="n">
        <x:v>1</x:v>
      </x:c>
      <x:c r="H29" s="26" t="str">
        <x:v>uncut_gem</x:v>
      </x:c>
      <x:c r="I29" s="26" t="n">
        <x:v>1</x:v>
      </x:c>
      <x:c r="J29" s="26" t="str"/>
      <x:c r="K29" s="26" t="str"/>
      <x:c r="L29" s="26" t="str"/>
      <x:c r="M29" s="26" t="str"/>
      <x:c r="N29" s="26" t="str">
        <x:v>gem_ring</x:v>
      </x:c>
      <x:c r="O29" s="26" t="n">
        <x:v>1</x:v>
      </x:c>
      <x:c r="P29" s="26" t="n">
        <x:v>150</x:v>
      </x:c>
      <x:c r="Q29" s="26" t="str">
        <x:v>Gathering luck jewelry</x:v>
      </x:c>
      <x:c r="R29" s="34" t="n">
        <x:f>IFERROR(G29*XLOOKUP(F29,'Items Master'!$A:$A,'Items Master'!$J:$J,0),0)+IFERROR(I29*XLOOKUP(H29,'Items Master'!$A:$A,'Items Master'!$J:$J,0),0)+IFERROR(K29*XLOOKUP(J29,'Items Master'!$A:$A,'Items Master'!$J:$J,0),0)+IFERROR(M29*XLOOKUP(L29,'Items Master'!$A:$A,'Items Master'!$J:$J,0),0)</x:f>
        <x:v>330</x:v>
      </x:c>
      <x:c r="S29" s="34" t="n">
        <x:f>IFERROR(O29*XLOOKUP(N29,'Items Master'!$A:$A,'Items Master'!$J:$J,0),0)</x:f>
        <x:v>10</x:v>
      </x:c>
      <x:c r="T29" s="34" t="n">
        <x:f>S29-R29</x:f>
        <x:v>-320</x:v>
      </x:c>
    </x:row>
    <x:row r="30" ht="15" hidden="0" customHeight="1">
      <x:c r="A30" s="26" t="str">
        <x:v>bog_horror_armour</x:v>
      </x:c>
      <x:c r="B30" s="26" t="str">
        <x:v>Craft Bog Horror Armour</x:v>
      </x:c>
      <x:c r="C30" s="26" t="str">
        <x:v>Crafting Bench</x:v>
      </x:c>
      <x:c r="D30" s="26" t="str">
        <x:v>Crafting</x:v>
      </x:c>
      <x:c r="E30" s="26" t="n">
        <x:v>60</x:v>
      </x:c>
      <x:c r="F30" s="26" t="str">
        <x:v>bog_horror_hide</x:v>
      </x:c>
      <x:c r="G30" s="26" t="n">
        <x:v>2</x:v>
      </x:c>
      <x:c r="H30" s="26" t="str">
        <x:v>black_iron_bar</x:v>
      </x:c>
      <x:c r="I30" s="26" t="n">
        <x:v>2</x:v>
      </x:c>
      <x:c r="J30" s="26" t="str">
        <x:v>slime_core</x:v>
      </x:c>
      <x:c r="K30" s="26" t="n">
        <x:v>1</x:v>
      </x:c>
      <x:c r="L30" s="26" t="str"/>
      <x:c r="M30" s="26" t="str"/>
      <x:c r="N30" s="26" t="str">
        <x:v>bog_horror_armour</x:v>
      </x:c>
      <x:c r="O30" s="26" t="n">
        <x:v>1</x:v>
      </x:c>
      <x:c r="P30" s="26" t="n">
        <x:v>300</x:v>
      </x:c>
      <x:c r="Q30" s="26" t="str">
        <x:v>Boss material armour</x:v>
      </x:c>
      <x:c r="R30" s="34" t="n">
        <x:f>IFERROR(G30*XLOOKUP(F30,'Items Master'!$A:$A,'Items Master'!$J:$J,0),0)+IFERROR(I30*XLOOKUP(H30,'Items Master'!$A:$A,'Items Master'!$J:$J,0),0)+IFERROR(K30*XLOOKUP(J30,'Items Master'!$A:$A,'Items Master'!$J:$J,0),0)+IFERROR(M30*XLOOKUP(L30,'Items Master'!$A:$A,'Items Master'!$J:$J,0),0)</x:f>
        <x:v>732</x:v>
      </x:c>
      <x:c r="S30" s="34" t="n">
        <x:f>IFERROR(O30*XLOOKUP(N30,'Items Master'!$A:$A,'Items Master'!$J:$J,0),0)</x:f>
        <x:v>2200</x:v>
      </x:c>
      <x:c r="T30" s="34" t="n">
        <x:f>S30-R30</x:f>
        <x:v>1468</x:v>
      </x:c>
    </x:row>
    <x:row r="31" ht="15" hidden="0" customHeight="1">
      <x:c r="A31" s="26" t="str">
        <x:v>cook_shrimp</x:v>
      </x:c>
      <x:c r="B31" s="26" t="str">
        <x:v>Cook Shrimp</x:v>
      </x:c>
      <x:c r="C31" s="26" t="str">
        <x:v>Fire/Range</x:v>
      </x:c>
      <x:c r="D31" s="26" t="str">
        <x:v>Cooking</x:v>
      </x:c>
      <x:c r="E31" s="26" t="n">
        <x:v>1</x:v>
      </x:c>
      <x:c r="F31" s="26" t="str">
        <x:v>raw_shrimp</x:v>
      </x:c>
      <x:c r="G31" s="26" t="n">
        <x:v>1</x:v>
      </x:c>
      <x:c r="H31" s="26" t="str"/>
      <x:c r="I31" s="26" t="str"/>
      <x:c r="J31" s="26" t="str"/>
      <x:c r="K31" s="26" t="str"/>
      <x:c r="L31" s="26" t="str"/>
      <x:c r="M31" s="26" t="str"/>
      <x:c r="N31" s="26" t="str">
        <x:v>cooked_shrimp</x:v>
      </x:c>
      <x:c r="O31" s="26" t="n">
        <x:v>1</x:v>
      </x:c>
      <x:c r="P31" s="26" t="n">
        <x:v>4</x:v>
      </x:c>
      <x:c r="Q31" s="26" t="str">
        <x:v>Tutorial cooking</x:v>
      </x:c>
      <x:c r="R31" s="34" t="n">
        <x:f>IFERROR(G31*XLOOKUP(F31,'Items Master'!$A:$A,'Items Master'!$J:$J,0),0)+IFERROR(I31*XLOOKUP(H31,'Items Master'!$A:$A,'Items Master'!$J:$J,0),0)+IFERROR(K31*XLOOKUP(J31,'Items Master'!$A:$A,'Items Master'!$J:$J,0),0)+IFERROR(M31*XLOOKUP(L31,'Items Master'!$A:$A,'Items Master'!$J:$J,0),0)</x:f>
        <x:v>2</x:v>
      </x:c>
      <x:c r="S31" s="34" t="n">
        <x:f>IFERROR(O31*XLOOKUP(N31,'Items Master'!$A:$A,'Items Master'!$J:$J,0),0)</x:f>
        <x:v>4</x:v>
      </x:c>
      <x:c r="T31" s="34" t="n">
        <x:f>S31-R31</x:f>
        <x:v>2</x:v>
      </x:c>
    </x:row>
    <x:row r="32" ht="15" hidden="0" customHeight="1">
      <x:c r="A32" s="26" t="str">
        <x:v>cook_mudfish</x:v>
      </x:c>
      <x:c r="B32" s="26" t="str">
        <x:v>Cook Mudfish</x:v>
      </x:c>
      <x:c r="C32" s="26" t="str">
        <x:v>Fire/Range</x:v>
      </x:c>
      <x:c r="D32" s="26" t="str">
        <x:v>Cooking</x:v>
      </x:c>
      <x:c r="E32" s="26" t="n">
        <x:v>5</x:v>
      </x:c>
      <x:c r="F32" s="26" t="str">
        <x:v>raw_mudfish</x:v>
      </x:c>
      <x:c r="G32" s="26" t="n">
        <x:v>1</x:v>
      </x:c>
      <x:c r="H32" s="26" t="str"/>
      <x:c r="I32" s="26" t="str"/>
      <x:c r="J32" s="26" t="str"/>
      <x:c r="K32" s="26" t="str"/>
      <x:c r="L32" s="26" t="str"/>
      <x:c r="M32" s="26" t="str"/>
      <x:c r="N32" s="26" t="str">
        <x:v>cooked_mudfish</x:v>
      </x:c>
      <x:c r="O32" s="26" t="n">
        <x:v>1</x:v>
      </x:c>
      <x:c r="P32" s="26" t="n">
        <x:v>8</x:v>
      </x:c>
      <x:c r="Q32" s="26" t="str">
        <x:v>Cheap food</x:v>
      </x:c>
      <x:c r="R32" s="34" t="n">
        <x:f>IFERROR(G32*XLOOKUP(F32,'Items Master'!$A:$A,'Items Master'!$J:$J,0),0)+IFERROR(I32*XLOOKUP(H32,'Items Master'!$A:$A,'Items Master'!$J:$J,0),0)+IFERROR(K32*XLOOKUP(J32,'Items Master'!$A:$A,'Items Master'!$J:$J,0),0)+IFERROR(M32*XLOOKUP(L32,'Items Master'!$A:$A,'Items Master'!$J:$J,0),0)</x:f>
        <x:v>4</x:v>
      </x:c>
      <x:c r="S32" s="34" t="n">
        <x:f>IFERROR(O32*XLOOKUP(N32,'Items Master'!$A:$A,'Items Master'!$J:$J,0),0)</x:f>
        <x:v>6</x:v>
      </x:c>
      <x:c r="T32" s="34" t="n">
        <x:f>S32-R32</x:f>
        <x:v>2</x:v>
      </x:c>
    </x:row>
    <x:row r="33" ht="15" hidden="0" customHeight="1">
      <x:c r="A33" s="26" t="str">
        <x:v>cook_trout</x:v>
      </x:c>
      <x:c r="B33" s="26" t="str">
        <x:v>Cook Trout</x:v>
      </x:c>
      <x:c r="C33" s="26" t="str">
        <x:v>Fire/Range</x:v>
      </x:c>
      <x:c r="D33" s="26" t="str">
        <x:v>Cooking</x:v>
      </x:c>
      <x:c r="E33" s="26" t="n">
        <x:v>10</x:v>
      </x:c>
      <x:c r="F33" s="26" t="str">
        <x:v>raw_trout</x:v>
      </x:c>
      <x:c r="G33" s="26" t="n">
        <x:v>1</x:v>
      </x:c>
      <x:c r="H33" s="26" t="str"/>
      <x:c r="I33" s="26" t="str"/>
      <x:c r="J33" s="26" t="str"/>
      <x:c r="K33" s="26" t="str"/>
      <x:c r="L33" s="26" t="str"/>
      <x:c r="M33" s="26" t="str"/>
      <x:c r="N33" s="26" t="str">
        <x:v>cooked_trout</x:v>
      </x:c>
      <x:c r="O33" s="26" t="n">
        <x:v>1</x:v>
      </x:c>
      <x:c r="P33" s="26" t="n">
        <x:v>14</x:v>
      </x:c>
      <x:c r="Q33" s="26" t="str">
        <x:v>Early combat</x:v>
      </x:c>
      <x:c r="R33" s="34" t="n">
        <x:f>IFERROR(G33*XLOOKUP(F33,'Items Master'!$A:$A,'Items Master'!$J:$J,0),0)+IFERROR(I33*XLOOKUP(H33,'Items Master'!$A:$A,'Items Master'!$J:$J,0),0)+IFERROR(K33*XLOOKUP(J33,'Items Master'!$A:$A,'Items Master'!$J:$J,0),0)+IFERROR(M33*XLOOKUP(L33,'Items Master'!$A:$A,'Items Master'!$J:$J,0),0)</x:f>
        <x:v>8</x:v>
      </x:c>
      <x:c r="S33" s="34" t="n">
        <x:f>IFERROR(O33*XLOOKUP(N33,'Items Master'!$A:$A,'Items Master'!$J:$J,0),0)</x:f>
        <x:v>12</x:v>
      </x:c>
      <x:c r="T33" s="34" t="n">
        <x:f>S33-R33</x:f>
        <x:v>4</x:v>
      </x:c>
    </x:row>
    <x:row r="34" ht="15" hidden="0" customHeight="1">
      <x:c r="A34" s="26" t="str">
        <x:v>eel_skewer</x:v>
      </x:c>
      <x:c r="B34" s="26" t="str">
        <x:v>Cook Eel Skewer</x:v>
      </x:c>
      <x:c r="C34" s="26" t="str">
        <x:v>Fire/Range</x:v>
      </x:c>
      <x:c r="D34" s="26" t="str">
        <x:v>Cooking</x:v>
      </x:c>
      <x:c r="E34" s="26" t="n">
        <x:v>15</x:v>
      </x:c>
      <x:c r="F34" s="26" t="str">
        <x:v>raw_river_eel</x:v>
      </x:c>
      <x:c r="G34" s="26" t="n">
        <x:v>1</x:v>
      </x:c>
      <x:c r="H34" s="26" t="str">
        <x:v>normal_logs</x:v>
      </x:c>
      <x:c r="I34" s="26" t="n">
        <x:v>1</x:v>
      </x:c>
      <x:c r="J34" s="26" t="str"/>
      <x:c r="K34" s="26" t="str"/>
      <x:c r="L34" s="26" t="str"/>
      <x:c r="M34" s="26" t="str"/>
      <x:c r="N34" s="26" t="str">
        <x:v>eel_skewer</x:v>
      </x:c>
      <x:c r="O34" s="26" t="n">
        <x:v>1</x:v>
      </x:c>
      <x:c r="P34" s="26" t="n">
        <x:v>20</x:v>
      </x:c>
      <x:c r="Q34" s="26" t="str">
        <x:v>Consumes logs</x:v>
      </x:c>
      <x:c r="R34" s="34" t="n">
        <x:f>IFERROR(G34*XLOOKUP(F34,'Items Master'!$A:$A,'Items Master'!$J:$J,0),0)+IFERROR(I34*XLOOKUP(H34,'Items Master'!$A:$A,'Items Master'!$J:$J,0),0)+IFERROR(K34*XLOOKUP(J34,'Items Master'!$A:$A,'Items Master'!$J:$J,0),0)+IFERROR(M34*XLOOKUP(L34,'Items Master'!$A:$A,'Items Master'!$J:$J,0),0)</x:f>
        <x:v>14</x:v>
      </x:c>
      <x:c r="S34" s="34" t="n">
        <x:f>IFERROR(O34*XLOOKUP(N34,'Items Master'!$A:$A,'Items Master'!$J:$J,0),0)</x:f>
        <x:v>18</x:v>
      </x:c>
      <x:c r="T34" s="34" t="n">
        <x:f>S34-R34</x:f>
        <x:v>4</x:v>
      </x:c>
    </x:row>
    <x:row r="35" ht="15" hidden="0" customHeight="1">
      <x:c r="A35" s="26" t="str">
        <x:v>grilled_pike</x:v>
      </x:c>
      <x:c r="B35" s="26" t="str">
        <x:v>Grill Pike</x:v>
      </x:c>
      <x:c r="C35" s="26" t="str">
        <x:v>Fire/Range</x:v>
      </x:c>
      <x:c r="D35" s="26" t="str">
        <x:v>Cooking</x:v>
      </x:c>
      <x:c r="E35" s="26" t="n">
        <x:v>20</x:v>
      </x:c>
      <x:c r="F35" s="26" t="str">
        <x:v>raw_pike</x:v>
      </x:c>
      <x:c r="G35" s="26" t="n">
        <x:v>1</x:v>
      </x:c>
      <x:c r="H35" s="26" t="str">
        <x:v>oak_logs</x:v>
      </x:c>
      <x:c r="I35" s="26" t="n">
        <x:v>1</x:v>
      </x:c>
      <x:c r="J35" s="26" t="str"/>
      <x:c r="K35" s="26" t="str"/>
      <x:c r="L35" s="26" t="str"/>
      <x:c r="M35" s="26" t="str"/>
      <x:c r="N35" s="26" t="str">
        <x:v>grilled_pike</x:v>
      </x:c>
      <x:c r="O35" s="26" t="n">
        <x:v>1</x:v>
      </x:c>
      <x:c r="P35" s="26" t="n">
        <x:v>30</x:v>
      </x:c>
      <x:c r="Q35" s="26" t="str">
        <x:v>Midgame food</x:v>
      </x:c>
      <x:c r="R35" s="34" t="n">
        <x:f>IFERROR(G35*XLOOKUP(F35,'Items Master'!$A:$A,'Items Master'!$J:$J,0),0)+IFERROR(I35*XLOOKUP(H35,'Items Master'!$A:$A,'Items Master'!$J:$J,0),0)+IFERROR(K35*XLOOKUP(J35,'Items Master'!$A:$A,'Items Master'!$J:$J,0),0)+IFERROR(M35*XLOOKUP(L35,'Items Master'!$A:$A,'Items Master'!$J:$J,0),0)</x:f>
        <x:v>30</x:v>
      </x:c>
      <x:c r="S35" s="34" t="n">
        <x:f>IFERROR(O35*XLOOKUP(N35,'Items Master'!$A:$A,'Items Master'!$J:$J,0),0)</x:f>
        <x:v>35</x:v>
      </x:c>
      <x:c r="T35" s="34" t="n">
        <x:f>S35-R35</x:f>
        <x:v>5</x:v>
      </x:c>
    </x:row>
    <x:row r="36" ht="15" hidden="0" customHeight="1">
      <x:c r="A36" s="26" t="str">
        <x:v>bog_eel_stew</x:v>
      </x:c>
      <x:c r="B36" s="26" t="str">
        <x:v>Cook Bog Eel Stew</x:v>
      </x:c>
      <x:c r="C36" s="26" t="str">
        <x:v>Fire/Range</x:v>
      </x:c>
      <x:c r="D36" s="26" t="str">
        <x:v>Cooking</x:v>
      </x:c>
      <x:c r="E36" s="26" t="n">
        <x:v>30</x:v>
      </x:c>
      <x:c r="F36" s="26" t="str">
        <x:v>raw_bog_eel</x:v>
      </x:c>
      <x:c r="G36" s="26" t="n">
        <x:v>1</x:v>
      </x:c>
      <x:c r="H36" s="26" t="str">
        <x:v>swamp_herb</x:v>
      </x:c>
      <x:c r="I36" s="26" t="n">
        <x:v>1</x:v>
      </x:c>
      <x:c r="J36" s="26" t="str">
        <x:v>clay_bowl</x:v>
      </x:c>
      <x:c r="K36" s="26" t="n">
        <x:v>1</x:v>
      </x:c>
      <x:c r="L36" s="26" t="str"/>
      <x:c r="M36" s="26" t="str"/>
      <x:c r="N36" s="26" t="str">
        <x:v>bog_eel_stew</x:v>
      </x:c>
      <x:c r="O36" s="26" t="n">
        <x:v>1</x:v>
      </x:c>
      <x:c r="P36" s="26" t="n">
        <x:v>55</x:v>
      </x:c>
      <x:c r="Q36" s="26" t="str">
        <x:v>Swamp loop</x:v>
      </x:c>
      <x:c r="R36" s="34" t="n">
        <x:f>IFERROR(G36*XLOOKUP(F36,'Items Master'!$A:$A,'Items Master'!$J:$J,0),0)+IFERROR(I36*XLOOKUP(H36,'Items Master'!$A:$A,'Items Master'!$J:$J,0),0)+IFERROR(K36*XLOOKUP(J36,'Items Master'!$A:$A,'Items Master'!$J:$J,0),0)+IFERROR(M36*XLOOKUP(L36,'Items Master'!$A:$A,'Items Master'!$J:$J,0),0)</x:f>
        <x:v>98</x:v>
      </x:c>
      <x:c r="S36" s="34" t="n">
        <x:f>IFERROR(O36*XLOOKUP(N36,'Items Master'!$A:$A,'Items Master'!$J:$J,0),0)</x:f>
        <x:v>80</x:v>
      </x:c>
      <x:c r="T36" s="34" t="n">
        <x:f>S36-R36</x:f>
        <x:v>-18</x:v>
      </x:c>
    </x:row>
    <x:row r="37" ht="15" hidden="0" customHeight="1">
      <x:c r="A37" s="26" t="str">
        <x:v>cavefish_roast</x:v>
      </x:c>
      <x:c r="B37" s="26" t="str">
        <x:v>Roast Cavefish</x:v>
      </x:c>
      <x:c r="C37" s="26" t="str">
        <x:v>Fire/Range</x:v>
      </x:c>
      <x:c r="D37" s="26" t="str">
        <x:v>Cooking</x:v>
      </x:c>
      <x:c r="E37" s="26" t="n">
        <x:v>50</x:v>
      </x:c>
      <x:c r="F37" s="26" t="str">
        <x:v>raw_cavefish</x:v>
      </x:c>
      <x:c r="G37" s="26" t="n">
        <x:v>1</x:v>
      </x:c>
      <x:c r="H37" s="26" t="str">
        <x:v>basic_herb</x:v>
      </x:c>
      <x:c r="I37" s="26" t="n">
        <x:v>1</x:v>
      </x:c>
      <x:c r="J37" s="26" t="str"/>
      <x:c r="K37" s="26" t="str"/>
      <x:c r="L37" s="26" t="str"/>
      <x:c r="M37" s="26" t="str"/>
      <x:c r="N37" s="26" t="str">
        <x:v>cavefish_roast</x:v>
      </x:c>
      <x:c r="O37" s="26" t="n">
        <x:v>1</x:v>
      </x:c>
      <x:c r="P37" s="26" t="n">
        <x:v>85</x:v>
      </x:c>
      <x:c r="Q37" s="26" t="str">
        <x:v>Mine expedition food</x:v>
      </x:c>
      <x:c r="R37" s="34" t="n">
        <x:f>IFERROR(G37*XLOOKUP(F37,'Items Master'!$A:$A,'Items Master'!$J:$J,0),0)+IFERROR(I37*XLOOKUP(H37,'Items Master'!$A:$A,'Items Master'!$J:$J,0),0)+IFERROR(K37*XLOOKUP(J37,'Items Master'!$A:$A,'Items Master'!$J:$J,0),0)+IFERROR(M37*XLOOKUP(L37,'Items Master'!$A:$A,'Items Master'!$J:$J,0),0)</x:f>
        <x:v>95</x:v>
      </x:c>
      <x:c r="S37" s="34" t="n">
        <x:f>IFERROR(O37*XLOOKUP(N37,'Items Master'!$A:$A,'Items Master'!$J:$J,0),0)</x:f>
        <x:v>140</x:v>
      </x:c>
      <x:c r="T37" s="34" t="n">
        <x:f>S37-R37</x:f>
        <x:v>45</x:v>
      </x:c>
    </x:row>
    <x:row r="38" ht="15" hidden="0" customHeight="1">
      <x:c r="A38" s="26" t="str">
        <x:v>grubshark_feast</x:v>
      </x:c>
      <x:c r="B38" s="26" t="str">
        <x:v>Make Grubshark Feast</x:v>
      </x:c>
      <x:c r="C38" s="26" t="str">
        <x:v>Fire/Range</x:v>
      </x:c>
      <x:c r="D38" s="26" t="str">
        <x:v>Cooking</x:v>
      </x:c>
      <x:c r="E38" s="26" t="n">
        <x:v>70</x:v>
      </x:c>
      <x:c r="F38" s="26" t="str">
        <x:v>raw_grubshark</x:v>
      </x:c>
      <x:c r="G38" s="26" t="n">
        <x:v>1</x:v>
      </x:c>
      <x:c r="H38" s="26" t="str">
        <x:v>swamp_herb</x:v>
      </x:c>
      <x:c r="I38" s="26" t="n">
        <x:v>1</x:v>
      </x:c>
      <x:c r="J38" s="26" t="str">
        <x:v>potato</x:v>
      </x:c>
      <x:c r="K38" s="26" t="n">
        <x:v>2</x:v>
      </x:c>
      <x:c r="L38" s="26" t="str">
        <x:v>onion</x:v>
      </x:c>
      <x:c r="M38" s="26" t="n">
        <x:v>1</x:v>
      </x:c>
      <x:c r="N38" s="26" t="str">
        <x:v>grubshark_feast</x:v>
      </x:c>
      <x:c r="O38" s="26" t="n">
        <x:v>1</x:v>
      </x:c>
      <x:c r="P38" s="26" t="n">
        <x:v>160</x:v>
      </x:c>
      <x:c r="Q38" s="26" t="str">
        <x:v>Boss prep</x:v>
      </x:c>
      <x:c r="R38" s="34" t="n">
        <x:f>IFERROR(G38*XLOOKUP(F38,'Items Master'!$A:$A,'Items Master'!$J:$J,0),0)+IFERROR(I38*XLOOKUP(H38,'Items Master'!$A:$A,'Items Master'!$J:$J,0),0)+IFERROR(K38*XLOOKUP(J38,'Items Master'!$A:$A,'Items Master'!$J:$J,0),0)+IFERROR(M38*XLOOKUP(L38,'Items Master'!$A:$A,'Items Master'!$J:$J,0),0)</x:f>
        <x:v>239</x:v>
      </x:c>
      <x:c r="S38" s="34" t="n">
        <x:f>IFERROR(O38*XLOOKUP(N38,'Items Master'!$A:$A,'Items Master'!$J:$J,0),0)</x:f>
        <x:v>500</x:v>
      </x:c>
      <x:c r="T38" s="34" t="n">
        <x:f>S38-R38</x:f>
        <x:v>261</x:v>
      </x:c>
    </x:row>
    <x:row r="39" ht="15" hidden="0" customHeight="1">
      <x:c r="A39" s="26" t="str">
        <x:v>war_feast</x:v>
      </x:c>
      <x:c r="B39" s="26" t="str">
        <x:v>Make War Feast</x:v>
      </x:c>
      <x:c r="C39" s="26" t="str">
        <x:v>Fire/Range</x:v>
      </x:c>
      <x:c r="D39" s="26" t="str">
        <x:v>Cooking</x:v>
      </x:c>
      <x:c r="E39" s="26" t="n">
        <x:v>70</x:v>
      </x:c>
      <x:c r="F39" s="26" t="str">
        <x:v>raw_pike</x:v>
      </x:c>
      <x:c r="G39" s="26" t="n">
        <x:v>2</x:v>
      </x:c>
      <x:c r="H39" s="26" t="str">
        <x:v>boar_meat</x:v>
      </x:c>
      <x:c r="I39" s="26" t="n">
        <x:v>1</x:v>
      </x:c>
      <x:c r="J39" s="26" t="str">
        <x:v>basic_herb</x:v>
      </x:c>
      <x:c r="K39" s="26" t="n">
        <x:v>2</x:v>
      </x:c>
      <x:c r="L39" s="26" t="str">
        <x:v>potato</x:v>
      </x:c>
      <x:c r="M39" s="26" t="n">
        <x:v>2</x:v>
      </x:c>
      <x:c r="N39" s="26" t="str">
        <x:v>war_feast</x:v>
      </x:c>
      <x:c r="O39" s="26" t="n">
        <x:v>1</x:v>
      </x:c>
      <x:c r="P39" s="26" t="n">
        <x:v>140</x:v>
      </x:c>
      <x:c r="Q39" s="26" t="str">
        <x:v>Rival camp prep</x:v>
      </x:c>
      <x:c r="R39" s="34" t="n">
        <x:f>IFERROR(G39*XLOOKUP(F39,'Items Master'!$A:$A,'Items Master'!$J:$J,0),0)+IFERROR(I39*XLOOKUP(H39,'Items Master'!$A:$A,'Items Master'!$J:$J,0),0)+IFERROR(K39*XLOOKUP(J39,'Items Master'!$A:$A,'Items Master'!$J:$J,0),0)+IFERROR(M39*XLOOKUP(L39,'Items Master'!$A:$A,'Items Master'!$J:$J,0),0)</x:f>
        <x:v>92</x:v>
      </x:c>
      <x:c r="S39" s="34" t="n">
        <x:f>IFERROR(O39*XLOOKUP(N39,'Items Master'!$A:$A,'Items Master'!$J:$J,0),0)</x:f>
        <x:v>450</x:v>
      </x:c>
      <x:c r="T39" s="34" t="n">
        <x:f>S39-R39</x:f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5d8d5034b9ef49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16" hidden="0" customWidth="1"/>
    <x:col min="9" max="9" width="16" hidden="0" customWidth="1"/>
  </x:cols>
  <x:sheetData>
    <x:row r="1" ht="15" hidden="0" customHeight="1">
      <x:c r="A1" s="20" t="str">
        <x:v>Monster ID</x:v>
      </x:c>
      <x:c r="B1" s="20" t="str">
        <x:v>Name</x:v>
      </x:c>
      <x:c r="C1" s="20" t="str">
        <x:v>Combat Level</x:v>
      </x:c>
      <x:c r="D1" s="20" t="str">
        <x:v>Region</x:v>
      </x:c>
      <x:c r="E1" s="20" t="str">
        <x:v>Style</x:v>
      </x:c>
      <x:c r="F1" s="20" t="str">
        <x:v>Weakness</x:v>
      </x:c>
      <x:c r="G1" s="20" t="str">
        <x:v>Connected Purpose</x:v>
      </x:c>
      <x:c r="H1" s="20" t="str">
        <x:v>Common Drops</x:v>
      </x:c>
      <x:c r="I1" s="20" t="str">
        <x:v>Unique Drop</x:v>
      </x:c>
    </x:row>
    <x:row r="2" ht="15" hidden="0" customHeight="1">
      <x:c r="A2" s="26" t="str">
        <x:v>training_rat</x:v>
      </x:c>
      <x:c r="B2" s="26" t="str">
        <x:v>Training Rat</x:v>
      </x:c>
      <x:c r="C2" s="26" t="n">
        <x:v>1</x:v>
      </x:c>
      <x:c r="D2" s="26" t="str">
        <x:v>Town Training Yard</x:v>
      </x:c>
      <x:c r="E2" s="26" t="str">
        <x:v>Melee</x:v>
      </x:c>
      <x:c r="F2" s="26" t="str">
        <x:v>None</x:v>
      </x:c>
      <x:c r="G2" s="26" t="str">
        <x:v>Controlled starter enemy</x:v>
      </x:c>
      <x:c r="H2" s="26" t="str">
        <x:v>Rat Meat/Bones</x:v>
      </x:c>
      <x:c r="I2" s="26" t="str">
        <x:v>Rat Tooth Charm</x:v>
      </x:c>
    </x:row>
    <x:row r="3" ht="15" hidden="0" customHeight="1">
      <x:c r="A3" s="26" t="str">
        <x:v>cave_bug</x:v>
      </x:c>
      <x:c r="B3" s="26" t="str">
        <x:v>Cave Bug</x:v>
      </x:c>
      <x:c r="C3" s="26" t="n">
        <x:v>3</x:v>
      </x:c>
      <x:c r="D3" s="26" t="str">
        <x:v>Starter Mine</x:v>
      </x:c>
      <x:c r="E3" s="26" t="str">
        <x:v>Melee</x:v>
      </x:c>
      <x:c r="F3" s="26" t="str">
        <x:v>Crush</x:v>
      </x:c>
      <x:c r="G3" s="26" t="str">
        <x:v>Mining tutorial enemy</x:v>
      </x:c>
      <x:c r="H3" s="26" t="str">
        <x:v>Bug Shell/Copper/Clay</x:v>
      </x:c>
      <x:c r="I3" s="26" t="str">
        <x:v>Bug-Eye Ring</x:v>
      </x:c>
    </x:row>
    <x:row r="4" ht="15" hidden="0" customHeight="1">
      <x:c r="A4" s="26" t="str">
        <x:v>mud_grub</x:v>
      </x:c>
      <x:c r="B4" s="26" t="str">
        <x:v>Mud Grub</x:v>
      </x:c>
      <x:c r="C4" s="26" t="n">
        <x:v>4</x:v>
      </x:c>
      <x:c r="D4" s="26" t="str">
        <x:v>River Mud Banks</x:v>
      </x:c>
      <x:c r="E4" s="26" t="str">
        <x:v>Melee</x:v>
      </x:c>
      <x:c r="F4" s="26" t="str">
        <x:v>Slash</x:v>
      </x:c>
      <x:c r="G4" s="26" t="str">
        <x:v>Bait/slime source</x:v>
      </x:c>
      <x:c r="H4" s="26" t="str">
        <x:v>Grub Meat/Slime/Bait</x:v>
      </x:c>
      <x:c r="I4" s="26" t="str">
        <x:v>Mud Grub Pet</x:v>
      </x:c>
    </x:row>
    <x:row r="5" ht="15" hidden="0" customHeight="1">
      <x:c r="A5" s="26" t="str">
        <x:v>goblin_trainee</x:v>
      </x:c>
      <x:c r="B5" s="26" t="str">
        <x:v>Goblin Trainee</x:v>
      </x:c>
      <x:c r="C5" s="26" t="n">
        <x:v>5</x:v>
      </x:c>
      <x:c r="D5" s="26" t="str">
        <x:v>Training Yard/Roads</x:v>
      </x:c>
      <x:c r="E5" s="26" t="str">
        <x:v>Melee</x:v>
      </x:c>
      <x:c r="F5" s="26" t="str">
        <x:v>Any</x:v>
      </x:c>
      <x:c r="G5" s="26" t="str">
        <x:v>Goblin sparring enemy</x:v>
      </x:c>
      <x:c r="H5" s="26" t="str">
        <x:v>Coins/Food/Cloth</x:v>
      </x:c>
      <x:c r="I5" s="26" t="str">
        <x:v>Trainee Headband</x:v>
      </x:c>
    </x:row>
    <x:row r="6" ht="15" hidden="0" customHeight="1">
      <x:c r="A6" s="26" t="str">
        <x:v>giant_spider</x:v>
      </x:c>
      <x:c r="B6" s="26" t="str">
        <x:v>Giant Spider</x:v>
      </x:c>
      <x:c r="C6" s="26" t="n">
        <x:v>8</x:v>
      </x:c>
      <x:c r="D6" s="26" t="str">
        <x:v>Beginner Forest</x:v>
      </x:c>
      <x:c r="E6" s="26" t="str">
        <x:v>Poison</x:v>
      </x:c>
      <x:c r="F6" s="26" t="str">
        <x:v>Ranged</x:v>
      </x:c>
      <x:c r="G6" s="26" t="str">
        <x:v>Bowstring/poison source</x:v>
      </x:c>
      <x:c r="H6" s="26" t="str">
        <x:v>Spider Silk/Poison Gland</x:v>
      </x:c>
      <x:c r="I6" s="26" t="str">
        <x:v>Spider Fang Dagger</x:v>
      </x:c>
    </x:row>
    <x:row r="7" ht="15" hidden="0" customHeight="1">
      <x:c r="A7" s="26" t="str">
        <x:v>forest_rat</x:v>
      </x:c>
      <x:c r="B7" s="26" t="str">
        <x:v>Forest Rat</x:v>
      </x:c>
      <x:c r="C7" s="26" t="n">
        <x:v>9</x:v>
      </x:c>
      <x:c r="D7" s="26" t="str">
        <x:v>Beginner Forest</x:v>
      </x:c>
      <x:c r="E7" s="26" t="str">
        <x:v>Melee</x:v>
      </x:c>
      <x:c r="F7" s="26" t="str">
        <x:v>Slash</x:v>
      </x:c>
      <x:c r="G7" s="26" t="str">
        <x:v>Hide/meat source</x:v>
      </x:c>
      <x:c r="H7" s="26" t="str">
        <x:v>Rat Meat/Hide/Bones</x:v>
      </x:c>
      <x:c r="I7" s="26" t="str">
        <x:v>Forest Rat Tail</x:v>
      </x:c>
    </x:row>
    <x:row r="8" ht="15" hidden="0" customHeight="1">
      <x:c r="A8" s="26" t="str">
        <x:v>river_bandit</x:v>
      </x:c>
      <x:c r="B8" s="26" t="str">
        <x:v>River Bandit</x:v>
      </x:c>
      <x:c r="C8" s="26" t="n">
        <x:v>12</x:v>
      </x:c>
      <x:c r="D8" s="26" t="str">
        <x:v>Willow Riverlands</x:v>
      </x:c>
      <x:c r="E8" s="26" t="str">
        <x:v>Melee</x:v>
      </x:c>
      <x:c r="F8" s="26" t="str">
        <x:v>Ranged</x:v>
      </x:c>
      <x:c r="G8" s="26" t="str">
        <x:v>Fishing route danger</x:v>
      </x:c>
      <x:c r="H8" s="26" t="str">
        <x:v>Coins/Trout/Bait</x:v>
      </x:c>
      <x:c r="I8" s="26" t="str">
        <x:v>Bandit Hook</x:v>
      </x:c>
    </x:row>
    <x:row r="9" ht="15" hidden="0" customHeight="1">
      <x:c r="A9" s="26" t="str">
        <x:v>mud_bug</x:v>
      </x:c>
      <x:c r="B9" s="26" t="str">
        <x:v>Mud Bug</x:v>
      </x:c>
      <x:c r="C9" s="26" t="n">
        <x:v>13</x:v>
      </x:c>
      <x:c r="D9" s="26" t="str">
        <x:v>Willow Riverlands</x:v>
      </x:c>
      <x:c r="E9" s="26" t="str">
        <x:v>Melee</x:v>
      </x:c>
      <x:c r="F9" s="26" t="str">
        <x:v>Crush</x:v>
      </x:c>
      <x:c r="G9" s="26" t="str">
        <x:v>Clay/shell/slime source</x:v>
      </x:c>
      <x:c r="H9" s="26" t="str">
        <x:v>Bug Shell/Clay/Mudfish</x:v>
      </x:c>
      <x:c r="I9" s="26" t="str">
        <x:v>Mud Shell Shield</x:v>
      </x:c>
    </x:row>
    <x:row r="10" ht="15" hidden="0" customHeight="1">
      <x:c r="A10" s="26" t="str">
        <x:v>crazed_fisher_gob</x:v>
      </x:c>
      <x:c r="B10" s="26" t="str">
        <x:v>Crazed Fisher-Gob</x:v>
      </x:c>
      <x:c r="C10" s="26" t="n">
        <x:v>15</x:v>
      </x:c>
      <x:c r="D10" s="26" t="str">
        <x:v>Grublake Shore</x:v>
      </x:c>
      <x:c r="E10" s="26" t="str">
        <x:v>Melee</x:v>
      </x:c>
      <x:c r="F10" s="26" t="str">
        <x:v>Any</x:v>
      </x:c>
      <x:c r="G10" s="26" t="str">
        <x:v>Fishing enemy</x:v>
      </x:c>
      <x:c r="H10" s="26" t="str">
        <x:v>Trout/Pike/Rod</x:v>
      </x:c>
      <x:c r="I10" s="26" t="str">
        <x:v>Fisher-Gob Hat</x:v>
      </x:c>
    </x:row>
    <x:row r="11" ht="15" hidden="0" customHeight="1">
      <x:c r="A11" s="26" t="str">
        <x:v>oak_boar</x:v>
      </x:c>
      <x:c r="B11" s="26" t="str">
        <x:v>Oak Boar</x:v>
      </x:c>
      <x:c r="C11" s="26" t="n">
        <x:v>18</x:v>
      </x:c>
      <x:c r="D11" s="26" t="str">
        <x:v>Eastern Oakwoods Edge</x:v>
      </x:c>
      <x:c r="E11" s="26" t="str">
        <x:v>Melee</x:v>
      </x:c>
      <x:c r="F11" s="26" t="str">
        <x:v>Ranged</x:v>
      </x:c>
      <x:c r="G11" s="26" t="str">
        <x:v>Meat/hide/tusk source</x:v>
      </x:c>
      <x:c r="H11" s="26" t="str">
        <x:v>Boar Meat/Tough Hide</x:v>
      </x:c>
      <x:c r="I11" s="26" t="str">
        <x:v>Boar Tusk Spear Tip</x:v>
      </x:c>
    </x:row>
    <x:row r="12" ht="15" hidden="0" customHeight="1">
      <x:c r="A12" s="26" t="str">
        <x:v>cave_bat</x:v>
      </x:c>
      <x:c r="B12" s="26" t="str">
        <x:v>Cave Bat</x:v>
      </x:c>
      <x:c r="C12" s="26" t="n">
        <x:v>20</x:v>
      </x:c>
      <x:c r="D12" s="26" t="str">
        <x:v>Deeper Starter Mine</x:v>
      </x:c>
      <x:c r="E12" s="26" t="str">
        <x:v>Flying</x:v>
      </x:c>
      <x:c r="F12" s="26" t="str">
        <x:v>Ranged</x:v>
      </x:c>
      <x:c r="G12" s="26" t="str">
        <x:v>Iron/crafting ingredient</x:v>
      </x:c>
      <x:c r="H12" s="26" t="str">
        <x:v>Bat Wing/Iron</x:v>
      </x:c>
      <x:c r="I12" s="26" t="str">
        <x:v>Echo Fang</x:v>
      </x:c>
    </x:row>
    <x:row r="13" ht="15" hidden="0" customHeight="1">
      <x:c r="A13" s="26" t="str">
        <x:v>iron_rock_crab</x:v>
      </x:c>
      <x:c r="B13" s="26" t="str">
        <x:v>Iron Rock Crab</x:v>
      </x:c>
      <x:c r="C13" s="26" t="n">
        <x:v>24</x:v>
      </x:c>
      <x:c r="D13" s="26" t="str">
        <x:v>Northern Mine Hills</x:v>
      </x:c>
      <x:c r="E13" s="26" t="str">
        <x:v>Crush</x:v>
      </x:c>
      <x:c r="F13" s="26" t="str">
        <x:v>Magic/Pickaxe</x:v>
      </x:c>
      <x:c r="G13" s="26" t="str">
        <x:v>Ore/food hybrid</x:v>
      </x:c>
      <x:c r="H13" s="26" t="str">
        <x:v>Iron/Stone/Crab Meat</x:v>
      </x:c>
      <x:c r="I13" s="26" t="str">
        <x:v>Iron Crab Shell</x:v>
      </x:c>
    </x:row>
    <x:row r="14" ht="15" hidden="0" customHeight="1">
      <x:c r="A14" s="26" t="str">
        <x:v>moss_wolf</x:v>
      </x:c>
      <x:c r="B14" s="26" t="str">
        <x:v>Moss Wolf</x:v>
      </x:c>
      <x:c r="C14" s="26" t="n">
        <x:v>26</x:v>
      </x:c>
      <x:c r="D14" s="26" t="str">
        <x:v>Eastern Oakwoods</x:v>
      </x:c>
      <x:c r="E14" s="26" t="str">
        <x:v>Melee</x:v>
      </x:c>
      <x:c r="F14" s="26" t="str">
        <x:v>Spear/Ranged</x:v>
      </x:c>
      <x:c r="G14" s="26" t="str">
        <x:v>Ranger material source</x:v>
      </x:c>
      <x:c r="H14" s="26" t="str">
        <x:v>Wolf Hide/Meat</x:v>
      </x:c>
      <x:c r="I14" s="26" t="str">
        <x:v>Moss Wolf Pelt</x:v>
      </x:c>
    </x:row>
    <x:row r="15" ht="15" hidden="0" customHeight="1">
      <x:c r="A15" s="26" t="str">
        <x:v>rival_goblin_scout</x:v>
      </x:c>
      <x:c r="B15" s="26" t="str">
        <x:v>Rival Goblin Scout</x:v>
      </x:c>
      <x:c r="C15" s="26" t="n">
        <x:v>28</x:v>
      </x:c>
      <x:c r="D15" s="26" t="str">
        <x:v>Oakwoods/Lake Edge</x:v>
      </x:c>
      <x:c r="E15" s="26" t="str">
        <x:v>Ranged</x:v>
      </x:c>
      <x:c r="F15" s="26" t="str">
        <x:v>Melee</x:v>
      </x:c>
      <x:c r="G15" s="26" t="str">
        <x:v>Rival quest breadcrumb</x:v>
      </x:c>
      <x:c r="H15" s="26" t="str">
        <x:v>Coins/Map Scrap</x:v>
      </x:c>
      <x:c r="I15" s="26" t="str">
        <x:v>Scout Hood</x:v>
      </x:c>
    </x:row>
    <x:row r="16" ht="15" hidden="0" customHeight="1">
      <x:c r="A16" s="26" t="str">
        <x:v>swamp_frog</x:v>
      </x:c>
      <x:c r="B16" s="26" t="str">
        <x:v>Swamp Frog</x:v>
      </x:c>
      <x:c r="C16" s="26" t="n">
        <x:v>30</x:v>
      </x:c>
      <x:c r="D16" s="26" t="str">
        <x:v>Bog Edge</x:v>
      </x:c>
      <x:c r="E16" s="26" t="str">
        <x:v>Poison/Melee</x:v>
      </x:c>
      <x:c r="F16" s="26" t="str">
        <x:v>Ranged</x:v>
      </x:c>
      <x:c r="G16" s="26" t="str">
        <x:v>Swamp prep material</x:v>
      </x:c>
      <x:c r="H16" s="26" t="str">
        <x:v>Frog Legs/Poison/Herb</x:v>
      </x:c>
      <x:c r="I16" s="26" t="str">
        <x:v>Frog Crown</x:v>
      </x:c>
    </x:row>
    <x:row r="17" ht="15" hidden="0" customHeight="1">
      <x:c r="A17" s="26" t="str">
        <x:v>bog_rat</x:v>
      </x:c>
      <x:c r="B17" s="26" t="str">
        <x:v>Bog Rat</x:v>
      </x:c>
      <x:c r="C17" s="26" t="n">
        <x:v>32</x:v>
      </x:c>
      <x:c r="D17" s="26" t="str">
        <x:v>Bog of Grub</x:v>
      </x:c>
      <x:c r="E17" s="26" t="str">
        <x:v>Disease</x:v>
      </x:c>
      <x:c r="F17" s="26" t="str">
        <x:v>Slash</x:v>
      </x:c>
      <x:c r="G17" s="26" t="str">
        <x:v>Swamp crafting source</x:v>
      </x:c>
      <x:c r="H17" s="26" t="str">
        <x:v>Diseased Hide/Deadwood</x:v>
      </x:c>
      <x:c r="I17" s="26" t="str">
        <x:v>Bog Rat Charm</x:v>
      </x:c>
    </x:row>
    <x:row r="18" ht="15" hidden="0" customHeight="1">
      <x:c r="A18" s="26" t="str">
        <x:v>fungal_goblin</x:v>
      </x:c>
      <x:c r="B18" s="26" t="str">
        <x:v>Fungal Goblin</x:v>
      </x:c>
      <x:c r="C18" s="26" t="n">
        <x:v>34</x:v>
      </x:c>
      <x:c r="D18" s="26" t="str">
        <x:v>Mushroom Forest</x:v>
      </x:c>
      <x:c r="E18" s="26" t="str">
        <x:v>Melee/Spore</x:v>
      </x:c>
      <x:c r="F18" s="26" t="str">
        <x:v>Fire</x:v>
      </x:c>
      <x:c r="G18" s="26" t="str">
        <x:v>Mushroom/crafting source</x:v>
      </x:c>
      <x:c r="H18" s="26" t="str">
        <x:v>Mushroom/Fungal Logs</x:v>
      </x:c>
      <x:c r="I18" s="26" t="str">
        <x:v>Spore Mask</x:v>
      </x:c>
    </x:row>
    <x:row r="19" ht="15" hidden="0" customHeight="1">
      <x:c r="A19" s="26" t="str">
        <x:v>cave_goblin_miner</x:v>
      </x:c>
      <x:c r="B19" s="26" t="str">
        <x:v>Cave Goblin Miner</x:v>
      </x:c>
      <x:c r="C19" s="26" t="n">
        <x:v>36</x:v>
      </x:c>
      <x:c r="D19" s="26" t="str">
        <x:v>Northern Mine Caves</x:v>
      </x:c>
      <x:c r="E19" s="26" t="str">
        <x:v>Melee</x:v>
      </x:c>
      <x:c r="F19" s="26" t="str">
        <x:v>Ranged</x:v>
      </x:c>
      <x:c r="G19" s="26" t="str">
        <x:v>Ore/drop tool parts</x:v>
      </x:c>
      <x:c r="H19" s="26" t="str">
        <x:v>Iron/Coal/Pickaxe Head</x:v>
      </x:c>
      <x:c r="I19" s="26" t="str">
        <x:v>Miner Belt</x:v>
      </x:c>
    </x:row>
    <x:row r="20" ht="15" hidden="0" customHeight="1">
      <x:c r="A20" s="26" t="str">
        <x:v>bog_slime</x:v>
      </x:c>
      <x:c r="B20" s="26" t="str">
        <x:v>Bog Slime</x:v>
      </x:c>
      <x:c r="C20" s="26" t="n">
        <x:v>38</x:v>
      </x:c>
      <x:c r="D20" s="26" t="str">
        <x:v>Bog of Grub</x:v>
      </x:c>
      <x:c r="E20" s="26" t="str">
        <x:v>Poison</x:v>
      </x:c>
      <x:c r="F20" s="26" t="str">
        <x:v>Ranged/Fire</x:v>
      </x:c>
      <x:c r="G20" s="26" t="str">
        <x:v>Slime/herb/eel source</x:v>
      </x:c>
      <x:c r="H20" s="26" t="str">
        <x:v>Slime/Herb/Bog Eel</x:v>
      </x:c>
      <x:c r="I20" s="26" t="str">
        <x:v>Slime Core</x:v>
      </x:c>
    </x:row>
    <x:row r="21" ht="15" hidden="0" customHeight="1">
      <x:c r="A21" s="26" t="str">
        <x:v>lake_snapper</x:v>
      </x:c>
      <x:c r="B21" s="26" t="str">
        <x:v>Lake Snapper</x:v>
      </x:c>
      <x:c r="C21" s="26" t="n">
        <x:v>40</x:v>
      </x:c>
      <x:c r="D21" s="26" t="str">
        <x:v>Grublake Deep Shore</x:v>
      </x:c>
      <x:c r="E21" s="26" t="str">
        <x:v>Melee</x:v>
      </x:c>
      <x:c r="F21" s="26" t="str">
        <x:v>Spear</x:v>
      </x:c>
      <x:c r="G21" s="26" t="str">
        <x:v>Fish/shell source</x:v>
      </x:c>
      <x:c r="H21" s="26" t="str">
        <x:v>Pike/Carp/Shell</x:v>
      </x:c>
      <x:c r="I21" s="26" t="str">
        <x:v>Snapper Tooth Necklace</x:v>
      </x:c>
    </x:row>
    <x:row r="22" ht="15" hidden="0" customHeight="1">
      <x:c r="A22" s="26" t="str">
        <x:v>rival_goblin_warrior</x:v>
      </x:c>
      <x:c r="B22" s="26" t="str">
        <x:v>Rival Goblin Warrior</x:v>
      </x:c>
      <x:c r="C22" s="26" t="n">
        <x:v>42</x:v>
      </x:c>
      <x:c r="D22" s="26" t="str">
        <x:v>Rival Edge</x:v>
      </x:c>
      <x:c r="E22" s="26" t="str">
        <x:v>Melee</x:v>
      </x:c>
      <x:c r="F22" s="26" t="str">
        <x:v>Ranged</x:v>
      </x:c>
      <x:c r="G22" s="26" t="str">
        <x:v>Combat gear drops</x:v>
      </x:c>
      <x:c r="H22" s="26" t="str">
        <x:v>Coins/Iron Sword/Arrows</x:v>
      </x:c>
      <x:c r="I22" s="26" t="str">
        <x:v>Rival Blade Fragment</x:v>
      </x:c>
    </x:row>
    <x:row r="23" ht="15" hidden="0" customHeight="1">
      <x:c r="A23" s="26" t="str">
        <x:v>rival_goblin_archer</x:v>
      </x:c>
      <x:c r="B23" s="26" t="str">
        <x:v>Rival Goblin Archer</x:v>
      </x:c>
      <x:c r="C23" s="26" t="n">
        <x:v>44</x:v>
      </x:c>
      <x:c r="D23" s="26" t="str">
        <x:v>Rival Watchtowers</x:v>
      </x:c>
      <x:c r="E23" s="26" t="str">
        <x:v>Ranged</x:v>
      </x:c>
      <x:c r="F23" s="26" t="str">
        <x:v>Melee</x:v>
      </x:c>
      <x:c r="G23" s="26" t="str">
        <x:v>Ranged drops</x:v>
      </x:c>
      <x:c r="H23" s="26" t="str">
        <x:v>Iron Arrows/Oak Bow/Bowstring</x:v>
      </x:c>
      <x:c r="I23" s="26" t="str">
        <x:v>Archer Wristguard</x:v>
      </x:c>
    </x:row>
    <x:row r="24" ht="15" hidden="0" customHeight="1">
      <x:c r="A24" s="26" t="str">
        <x:v>deep_cave_crawler</x:v>
      </x:c>
      <x:c r="B24" s="26" t="str">
        <x:v>Deep Cave Crawler</x:v>
      </x:c>
      <x:c r="C24" s="26" t="n">
        <x:v>46</x:v>
      </x:c>
      <x:c r="D24" s="26" t="str">
        <x:v>Deep Mine</x:v>
      </x:c>
      <x:c r="E24" s="26" t="str">
        <x:v>Melee</x:v>
      </x:c>
      <x:c r="F24" s="26" t="str">
        <x:v>Crush</x:v>
      </x:c>
      <x:c r="G24" s="26" t="str">
        <x:v>Gold/chitin/claw source</x:v>
      </x:c>
      <x:c r="H24" s="26" t="str">
        <x:v>Coal/Gold/Chitin</x:v>
      </x:c>
      <x:c r="I24" s="26" t="str">
        <x:v>Crawler Claw</x:v>
      </x:c>
    </x:row>
    <x:row r="25" ht="15" hidden="0" customHeight="1">
      <x:c r="A25" s="26" t="str">
        <x:v>black_iron_crab</x:v>
      </x:c>
      <x:c r="B25" s="26" t="str">
        <x:v>Black Iron Crab</x:v>
      </x:c>
      <x:c r="C25" s="26" t="n">
        <x:v>50</x:v>
      </x:c>
      <x:c r="D25" s="26" t="str">
        <x:v>Deep Mine/Troll Edge</x:v>
      </x:c>
      <x:c r="E25" s="26" t="str">
        <x:v>Crush</x:v>
      </x:c>
      <x:c r="F25" s="26" t="str">
        <x:v>Magic/Pickaxe</x:v>
      </x:c>
      <x:c r="G25" s="26" t="str">
        <x:v>Black iron source</x:v>
      </x:c>
      <x:c r="H25" s="26" t="str">
        <x:v>Black Iron/Coal/Shell</x:v>
      </x:c>
      <x:c r="I25" s="26" t="str">
        <x:v>Black Crab Core</x:v>
      </x:c>
    </x:row>
    <x:row r="26" ht="15" hidden="0" customHeight="1">
      <x:c r="A26" s="26" t="str">
        <x:v>swamp_shaman</x:v>
      </x:c>
      <x:c r="B26" s="26" t="str">
        <x:v>Swamp Shaman</x:v>
      </x:c>
      <x:c r="C26" s="26" t="n">
        <x:v>52</x:v>
      </x:c>
      <x:c r="D26" s="26" t="str">
        <x:v>Bog Shrine/Rival Swamp</x:v>
      </x:c>
      <x:c r="E26" s="26" t="str">
        <x:v>Magic</x:v>
      </x:c>
      <x:c r="F26" s="26" t="str">
        <x:v>Ranged</x:v>
      </x:c>
      <x:c r="G26" s="26" t="str">
        <x:v>Shrine/prayer drops</x:v>
      </x:c>
      <x:c r="H26" s="26" t="str">
        <x:v>Herbs/Gold/Amulet</x:v>
      </x:c>
      <x:c r="I26" s="26" t="str">
        <x:v>Shaman Totem</x:v>
      </x:c>
    </x:row>
    <x:row r="27" ht="15" hidden="0" customHeight="1">
      <x:c r="A27" s="26" t="str">
        <x:v>rival_goblin_brute</x:v>
      </x:c>
      <x:c r="B27" s="26" t="str">
        <x:v>Rival Goblin Brute</x:v>
      </x:c>
      <x:c r="C27" s="26" t="n">
        <x:v>55</x:v>
      </x:c>
      <x:c r="D27" s="26" t="str">
        <x:v>Rival Camp</x:v>
      </x:c>
      <x:c r="E27" s="26" t="str">
        <x:v>Crush</x:v>
      </x:c>
      <x:c r="F27" s="26" t="str">
        <x:v>Kiting/Ranged</x:v>
      </x:c>
      <x:c r="G27" s="26" t="str">
        <x:v>Heavy combat drop source</x:v>
      </x:c>
      <x:c r="H27" s="26" t="str">
        <x:v>Steel/Black Iron/Food</x:v>
      </x:c>
      <x:c r="I27" s="26" t="str">
        <x:v>Brute Club Head</x:v>
      </x:c>
    </x:row>
    <x:row r="28" ht="15" hidden="0" customHeight="1">
      <x:c r="A28" s="26" t="str">
        <x:v>troll_whelp</x:v>
      </x:c>
      <x:c r="B28" s="26" t="str">
        <x:v>Troll Whelp</x:v>
      </x:c>
      <x:c r="C28" s="26" t="n">
        <x:v>58</x:v>
      </x:c>
      <x:c r="D28" s="26" t="str">
        <x:v>Troll Ridge Lower Path</x:v>
      </x:c>
      <x:c r="E28" s="26" t="str">
        <x:v>Crush</x:v>
      </x:c>
      <x:c r="F28" s="26" t="str">
        <x:v>Ranged</x:v>
      </x:c>
      <x:c r="G28" s="26" t="str">
        <x:v>Troll resource intro</x:v>
      </x:c>
      <x:c r="H28" s="26" t="str">
        <x:v>Troll Meat/Big Bones/Coal</x:v>
      </x:c>
      <x:c r="I28" s="26" t="str">
        <x:v>Troll Tooth</x:v>
      </x:c>
    </x:row>
    <x:row r="29" ht="15" hidden="0" customHeight="1">
      <x:c r="A29" s="26" t="str">
        <x:v>red_ear_captain</x:v>
      </x:c>
      <x:c r="B29" s="26" t="str">
        <x:v>Red-Ear Captain</x:v>
      </x:c>
      <x:c r="C29" s="26" t="n">
        <x:v>62</x:v>
      </x:c>
      <x:c r="D29" s="26" t="str">
        <x:v>Rival Camp Boss</x:v>
      </x:c>
      <x:c r="E29" s="26" t="str">
        <x:v>Melee</x:v>
      </x:c>
      <x:c r="F29" s="26" t="str">
        <x:v>Prepared food/Ranged</x:v>
      </x:c>
      <x:c r="G29" s="26" t="str">
        <x:v>First major camp boss</x:v>
      </x:c>
      <x:c r="H29" s="26" t="str">
        <x:v>Coins/Steel Spear/Banner</x:v>
      </x:c>
      <x:c r="I29" s="26" t="str">
        <x:v>Red-Ear Spear Tip</x:v>
      </x:c>
    </x:row>
    <x:row r="30" ht="15" hidden="0" customHeight="1">
      <x:c r="A30" s="26" t="str">
        <x:v>cave_troll</x:v>
      </x:c>
      <x:c r="B30" s="26" t="str">
        <x:v>Cave Troll</x:v>
      </x:c>
      <x:c r="C30" s="26" t="n">
        <x:v>68</x:v>
      </x:c>
      <x:c r="D30" s="26" t="str">
        <x:v>Troll Ridge Caves</x:v>
      </x:c>
      <x:c r="E30" s="26" t="str">
        <x:v>Crush</x:v>
      </x:c>
      <x:c r="F30" s="26" t="str">
        <x:v>Ranged/Poison</x:v>
      </x:c>
      <x:c r="G30" s="26" t="str">
        <x:v>High level mining guardian</x:v>
      </x:c>
      <x:c r="H30" s="26" t="str">
        <x:v>Big Bones/Gold/Troll Hide</x:v>
      </x:c>
      <x:c r="I30" s="26" t="str">
        <x:v>Mountain Key Fragment</x:v>
      </x:c>
    </x:row>
    <x:row r="31" ht="15" hidden="0" customHeight="1">
      <x:c r="A31" s="26" t="str">
        <x:v>grub_bog_horror</x:v>
      </x:c>
      <x:c r="B31" s="26" t="str">
        <x:v>Grub Bog Horror</x:v>
      </x:c>
      <x:c r="C31" s="26" t="n">
        <x:v>75</x:v>
      </x:c>
      <x:c r="D31" s="26" t="str">
        <x:v>Deep Bog Boss</x:v>
      </x:c>
      <x:c r="E31" s="26" t="str">
        <x:v>Poison/Crush</x:v>
      </x:c>
      <x:c r="F31" s="26" t="str">
        <x:v>Prepared gear</x:v>
      </x:c>
      <x:c r="G31" s="26" t="str">
        <x:v>Swamp boss</x:v>
      </x:c>
      <x:c r="H31" s="26" t="str">
        <x:v>Slime Core/Black Iron/Grubshark</x:v>
      </x:c>
      <x:c r="I31" s="26" t="str">
        <x:v>Horror Heart/Bog Crown</x:v>
      </x:c>
    </x:row>
  </x:sheetData>
  <x:pageMargins left="0.7" right="0.7" top="0.75" bottom="0.75" header="0.3" footer="0.3"/>
  <x:tableParts count="1">
    <x:tablePart xmlns:r="http://schemas.openxmlformats.org/officeDocument/2006/relationships" r:id="Reb999297ee3242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5" hidden="0" customHeight="1">
      <x:c r="A1" s="20" t="str">
        <x:v>Monster ID</x:v>
      </x:c>
      <x:c r="B1" s="20" t="str">
        <x:v>Item ID</x:v>
      </x:c>
      <x:c r="C1" s="20" t="str">
        <x:v>Chance %</x:v>
      </x:c>
      <x:c r="D1" s="20" t="str">
        <x:v>Min Qty</x:v>
      </x:c>
      <x:c r="E1" s="20" t="str">
        <x:v>Max Qty</x:v>
      </x:c>
      <x:c r="F1" s="20" t="str">
        <x:v>Role</x:v>
      </x:c>
      <x:c r="G1" s="20" t="str">
        <x:v>Avg Qty</x:v>
      </x:c>
      <x:c r="H1" s="20" t="str">
        <x:v>Item GP</x:v>
      </x:c>
      <x:c r="I1" s="20" t="str">
        <x:v>Expected GP/Kill</x:v>
      </x:c>
    </x:row>
    <x:row r="2" ht="15" hidden="0" customHeight="1">
      <x:c r="A2" s="26" t="str">
        <x:v>training_rat</x:v>
      </x:c>
      <x:c r="B2" s="26" t="str">
        <x:v>rat_meat</x:v>
      </x:c>
      <x:c r="C2" s="36" t="n">
        <x:v>55</x:v>
      </x:c>
      <x:c r="D2" s="26" t="n">
        <x:v>1</x:v>
      </x:c>
      <x:c r="E2" s="26" t="n">
        <x:v>1</x:v>
      </x:c>
      <x:c r="F2" s="26" t="str">
        <x:v>Cooking</x:v>
      </x:c>
      <x:c r="G2" s="36" t="n">
        <x:f>(D2+E2)/2</x:f>
        <x:v>1</x:v>
      </x:c>
      <x:c r="H2" s="36" t="n">
        <x:f>IF(B2="coins",1,IFERROR(XLOOKUP(B2,'Items Master'!$A:$A,'Items Master'!$J:$J,0),0))</x:f>
        <x:v>3</x:v>
      </x:c>
      <x:c r="I2" s="36" t="n">
        <x:f>C2/100*G2*H2</x:f>
        <x:v>1.6500000000000001</x:v>
      </x:c>
    </x:row>
    <x:row r="3" ht="15" hidden="0" customHeight="1">
      <x:c r="A3" s="26" t="str">
        <x:v>training_rat</x:v>
      </x:c>
      <x:c r="B3" s="26" t="str">
        <x:v>bones</x:v>
      </x:c>
      <x:c r="C3" s="36" t="n">
        <x:v>35</x:v>
      </x:c>
      <x:c r="D3" s="26" t="n">
        <x:v>1</x:v>
      </x:c>
      <x:c r="E3" s="26" t="n">
        <x:v>1</x:v>
      </x:c>
      <x:c r="F3" s="26" t="str">
        <x:v>Crafting/Prayer</x:v>
      </x:c>
      <x:c r="G3" s="36" t="n">
        <x:f>(D3+E3)/2</x:f>
        <x:v>1</x:v>
      </x:c>
      <x:c r="H3" s="36" t="n">
        <x:f>IF(B3="coins",1,IFERROR(XLOOKUP(B3,'Items Master'!$A:$A,'Items Master'!$J:$J,0),0))</x:f>
        <x:v>5</x:v>
      </x:c>
      <x:c r="I3" s="36" t="n">
        <x:f>C3/100*G3*H3</x:f>
        <x:v>1.75</x:v>
      </x:c>
    </x:row>
    <x:row r="4" ht="15" hidden="0" customHeight="1">
      <x:c r="A4" s="26" t="str">
        <x:v>training_rat</x:v>
      </x:c>
      <x:c r="B4" s="26" t="str">
        <x:v>coins</x:v>
      </x:c>
      <x:c r="C4" s="36" t="n">
        <x:v>20</x:v>
      </x:c>
      <x:c r="D4" s="26" t="n">
        <x:v>1</x:v>
      </x:c>
      <x:c r="E4" s="26" t="n">
        <x:v>3</x:v>
      </x:c>
      <x:c r="F4" s="26" t="str">
        <x:v>GP</x:v>
      </x:c>
      <x:c r="G4" s="36" t="n">
        <x:f>(D4+E4)/2</x:f>
        <x:v>2</x:v>
      </x:c>
      <x:c r="H4" s="36" t="n">
        <x:f>IF(B4="coins",1,IFERROR(XLOOKUP(B4,'Items Master'!$A:$A,'Items Master'!$J:$J,0),0))</x:f>
        <x:v>1</x:v>
      </x:c>
      <x:c r="I4" s="36" t="n">
        <x:f>C4/100*G4*H4</x:f>
        <x:v>0.4</x:v>
      </x:c>
    </x:row>
    <x:row r="5" ht="15" hidden="0" customHeight="1">
      <x:c r="A5" s="26" t="str">
        <x:v>training_rat</x:v>
      </x:c>
      <x:c r="B5" s="26" t="str">
        <x:v>hide_scrap</x:v>
      </x:c>
      <x:c r="C5" s="36" t="n">
        <x:v>10</x:v>
      </x:c>
      <x:c r="D5" s="26" t="n">
        <x:v>1</x:v>
      </x:c>
      <x:c r="E5" s="26" t="n">
        <x:v>1</x:v>
      </x:c>
      <x:c r="F5" s="26" t="str">
        <x:v>Crafting</x:v>
      </x:c>
      <x:c r="G5" s="36" t="n">
        <x:f>(D5+E5)/2</x:f>
        <x:v>1</x:v>
      </x:c>
      <x:c r="H5" s="36" t="n">
        <x:f>IF(B5="coins",1,IFERROR(XLOOKUP(B5,'Items Master'!$A:$A,'Items Master'!$J:$J,0),0))</x:f>
        <x:v>8</x:v>
      </x:c>
      <x:c r="I5" s="36" t="n">
        <x:f>C5/100*G5*H5</x:f>
        <x:v>0.8</x:v>
      </x:c>
    </x:row>
    <x:row r="6" ht="15" hidden="0" customHeight="1">
      <x:c r="A6" s="26" t="str">
        <x:v>training_rat</x:v>
      </x:c>
      <x:c r="B6" s="26" t="str">
        <x:v>rat_tooth_charm</x:v>
      </x:c>
      <x:c r="C6" s="36" t="n">
        <x:v>1</x:v>
      </x:c>
      <x:c r="D6" s="26" t="n">
        <x:v>1</x:v>
      </x:c>
      <x:c r="E6" s="26" t="n">
        <x:v>1</x:v>
      </x:c>
      <x:c r="F6" s="26" t="str">
        <x:v>Unique</x:v>
      </x:c>
      <x:c r="G6" s="36" t="n">
        <x:f>(D6+E6)/2</x:f>
        <x:v>1</x:v>
      </x:c>
      <x:c r="H6" s="36" t="n">
        <x:f>IF(B6="coins",1,IFERROR(XLOOKUP(B6,'Items Master'!$A:$A,'Items Master'!$J:$J,0),0))</x:f>
        <x:v>2</x:v>
      </x:c>
      <x:c r="I6" s="36" t="n">
        <x:f>C6/100*G6*H6</x:f>
        <x:v>0.02</x:v>
      </x:c>
    </x:row>
    <x:row r="7" ht="15" hidden="0" customHeight="1">
      <x:c r="A7" s="26" t="str">
        <x:v>cave_bug</x:v>
      </x:c>
      <x:c r="B7" s="26" t="str">
        <x:v>bug_shell</x:v>
      </x:c>
      <x:c r="C7" s="36" t="n">
        <x:v>45</x:v>
      </x:c>
      <x:c r="D7" s="26" t="n">
        <x:v>1</x:v>
      </x:c>
      <x:c r="E7" s="26" t="n">
        <x:v>1</x:v>
      </x:c>
      <x:c r="F7" s="26" t="str">
        <x:v>Crafting</x:v>
      </x:c>
      <x:c r="G7" s="36" t="n">
        <x:f>(D7+E7)/2</x:f>
        <x:v>1</x:v>
      </x:c>
      <x:c r="H7" s="36" t="n">
        <x:f>IF(B7="coins",1,IFERROR(XLOOKUP(B7,'Items Master'!$A:$A,'Items Master'!$J:$J,0),0))</x:f>
        <x:v>10</x:v>
      </x:c>
      <x:c r="I7" s="36" t="n">
        <x:f>C7/100*G7*H7</x:f>
        <x:v>4.5</x:v>
      </x:c>
    </x:row>
    <x:row r="8" ht="15" hidden="0" customHeight="1">
      <x:c r="A8" s="26" t="str">
        <x:v>cave_bug</x:v>
      </x:c>
      <x:c r="B8" s="26" t="str">
        <x:v>bones</x:v>
      </x:c>
      <x:c r="C8" s="36" t="n">
        <x:v>30</x:v>
      </x:c>
      <x:c r="D8" s="26" t="n">
        <x:v>1</x:v>
      </x:c>
      <x:c r="E8" s="26" t="n">
        <x:v>1</x:v>
      </x:c>
      <x:c r="F8" s="26" t="str">
        <x:v>Crafting</x:v>
      </x:c>
      <x:c r="G8" s="36" t="n">
        <x:f>(D8+E8)/2</x:f>
        <x:v>1</x:v>
      </x:c>
      <x:c r="H8" s="36" t="n">
        <x:f>IF(B8="coins",1,IFERROR(XLOOKUP(B8,'Items Master'!$A:$A,'Items Master'!$J:$J,0),0))</x:f>
        <x:v>5</x:v>
      </x:c>
      <x:c r="I8" s="36" t="n">
        <x:f>C8/100*G8*H8</x:f>
        <x:v>1.5</x:v>
      </x:c>
    </x:row>
    <x:row r="9" ht="15" hidden="0" customHeight="1">
      <x:c r="A9" s="26" t="str">
        <x:v>cave_bug</x:v>
      </x:c>
      <x:c r="B9" s="26" t="str">
        <x:v>copper_ore</x:v>
      </x:c>
      <x:c r="C9" s="36" t="n">
        <x:v>20</x:v>
      </x:c>
      <x:c r="D9" s="26" t="n">
        <x:v>1</x:v>
      </x:c>
      <x:c r="E9" s="26" t="n">
        <x:v>2</x:v>
      </x:c>
      <x:c r="F9" s="26" t="str">
        <x:v>Smithing</x:v>
      </x:c>
      <x:c r="G9" s="36" t="n">
        <x:f>(D9+E9)/2</x:f>
        <x:v>1.5</x:v>
      </x:c>
      <x:c r="H9" s="36" t="n">
        <x:f>IF(B9="coins",1,IFERROR(XLOOKUP(B9,'Items Master'!$A:$A,'Items Master'!$J:$J,0),0))</x:f>
        <x:v>3</x:v>
      </x:c>
      <x:c r="I9" s="36" t="n">
        <x:f>C9/100*G9*H9</x:f>
        <x:v>0.9000000000000001</x:v>
      </x:c>
    </x:row>
    <x:row r="10" ht="15" hidden="0" customHeight="1">
      <x:c r="A10" s="26" t="str">
        <x:v>cave_bug</x:v>
      </x:c>
      <x:c r="B10" s="26" t="str">
        <x:v>clay</x:v>
      </x:c>
      <x:c r="C10" s="36" t="n">
        <x:v>15</x:v>
      </x:c>
      <x:c r="D10" s="26" t="n">
        <x:v>1</x:v>
      </x:c>
      <x:c r="E10" s="26" t="n">
        <x:v>1</x:v>
      </x:c>
      <x:c r="F10" s="26" t="str">
        <x:v>Crafting</x:v>
      </x:c>
      <x:c r="G10" s="36" t="n">
        <x:f>(D10+E10)/2</x:f>
        <x:v>1</x:v>
      </x:c>
      <x:c r="H10" s="36" t="n">
        <x:f>IF(B10="coins",1,IFERROR(XLOOKUP(B10,'Items Master'!$A:$A,'Items Master'!$J:$J,0),0))</x:f>
        <x:v>5</x:v>
      </x:c>
      <x:c r="I10" s="36" t="n">
        <x:f>C10/100*G10*H10</x:f>
        <x:v>0.75</x:v>
      </x:c>
    </x:row>
    <x:row r="11" ht="15" hidden="0" customHeight="1">
      <x:c r="A11" s="26" t="str">
        <x:v>cave_bug</x:v>
      </x:c>
      <x:c r="B11" s="26" t="str">
        <x:v>bug_eye_ring</x:v>
      </x:c>
      <x:c r="C11" s="36" t="n">
        <x:v>1</x:v>
      </x:c>
      <x:c r="D11" s="26" t="n">
        <x:v>1</x:v>
      </x:c>
      <x:c r="E11" s="26" t="n">
        <x:v>1</x:v>
      </x:c>
      <x:c r="F11" s="26" t="str">
        <x:v>Unique</x:v>
      </x:c>
      <x:c r="G11" s="36" t="n">
        <x:f>(D11+E11)/2</x:f>
        <x:v>1</x:v>
      </x:c>
      <x:c r="H11" s="36" t="n">
        <x:f>IF(B11="coins",1,IFERROR(XLOOKUP(B11,'Items Master'!$A:$A,'Items Master'!$J:$J,0),0))</x:f>
        <x:v>2</x:v>
      </x:c>
      <x:c r="I11" s="36" t="n">
        <x:f>C11/100*G11*H11</x:f>
        <x:v>0.02</x:v>
      </x:c>
    </x:row>
    <x:row r="12" ht="15" hidden="0" customHeight="1">
      <x:c r="A12" s="26" t="str">
        <x:v>mud_grub</x:v>
      </x:c>
      <x:c r="B12" s="26" t="str">
        <x:v>grub_meat</x:v>
      </x:c>
      <x:c r="C12" s="36" t="n">
        <x:v>50</x:v>
      </x:c>
      <x:c r="D12" s="26" t="n">
        <x:v>1</x:v>
      </x:c>
      <x:c r="E12" s="26" t="n">
        <x:v>1</x:v>
      </x:c>
      <x:c r="F12" s="26" t="str">
        <x:v>Cooking</x:v>
      </x:c>
      <x:c r="G12" s="36" t="n">
        <x:f>(D12+E12)/2</x:f>
        <x:v>1</x:v>
      </x:c>
      <x:c r="H12" s="36" t="n">
        <x:f>IF(B12="coins",1,IFERROR(XLOOKUP(B12,'Items Master'!$A:$A,'Items Master'!$J:$J,0),0))</x:f>
        <x:v>4</x:v>
      </x:c>
      <x:c r="I12" s="36" t="n">
        <x:f>C12/100*G12*H12</x:f>
        <x:v>2</x:v>
      </x:c>
    </x:row>
    <x:row r="13" ht="15" hidden="0" customHeight="1">
      <x:c r="A13" s="26" t="str">
        <x:v>mud_grub</x:v>
      </x:c>
      <x:c r="B13" s="26" t="str">
        <x:v>slime_glob</x:v>
      </x:c>
      <x:c r="C13" s="36" t="n">
        <x:v>30</x:v>
      </x:c>
      <x:c r="D13" s="26" t="n">
        <x:v>1</x:v>
      </x:c>
      <x:c r="E13" s="26" t="n">
        <x:v>1</x:v>
      </x:c>
      <x:c r="F13" s="26" t="str">
        <x:v>Crafting</x:v>
      </x:c>
      <x:c r="G13" s="36" t="n">
        <x:f>(D13+E13)/2</x:f>
        <x:v>1</x:v>
      </x:c>
      <x:c r="H13" s="36" t="n">
        <x:f>IF(B13="coins",1,IFERROR(XLOOKUP(B13,'Items Master'!$A:$A,'Items Master'!$J:$J,0),0))</x:f>
        <x:v>20</x:v>
      </x:c>
      <x:c r="I13" s="36" t="n">
        <x:f>C13/100*G13*H13</x:f>
        <x:v>6</x:v>
      </x:c>
    </x:row>
    <x:row r="14" ht="15" hidden="0" customHeight="1">
      <x:c r="A14" s="26" t="str">
        <x:v>mud_grub</x:v>
      </x:c>
      <x:c r="B14" s="26" t="str">
        <x:v>fishing_bait</x:v>
      </x:c>
      <x:c r="C14" s="36" t="n">
        <x:v>25</x:v>
      </x:c>
      <x:c r="D14" s="26" t="n">
        <x:v>3</x:v>
      </x:c>
      <x:c r="E14" s="26" t="n">
        <x:v>8</x:v>
      </x:c>
      <x:c r="F14" s="26" t="str">
        <x:v>Fishing</x:v>
      </x:c>
      <x:c r="G14" s="36" t="n">
        <x:f>(D14+E14)/2</x:f>
        <x:v>5.5</x:v>
      </x:c>
      <x:c r="H14" s="36" t="n">
        <x:f>IF(B14="coins",1,IFERROR(XLOOKUP(B14,'Items Master'!$A:$A,'Items Master'!$J:$J,0),0))</x:f>
        <x:v>50</x:v>
      </x:c>
      <x:c r="I14" s="36" t="n">
        <x:f>C14/100*G14*H14</x:f>
        <x:v>68.75</x:v>
      </x:c>
    </x:row>
    <x:row r="15" ht="15" hidden="0" customHeight="1">
      <x:c r="A15" s="26" t="str">
        <x:v>mud_grub</x:v>
      </x:c>
      <x:c r="B15" s="26" t="str">
        <x:v>raw_mudfish</x:v>
      </x:c>
      <x:c r="C15" s="36" t="n">
        <x:v>10</x:v>
      </x:c>
      <x:c r="D15" s="26" t="n">
        <x:v>1</x:v>
      </x:c>
      <x:c r="E15" s="26" t="n">
        <x:v>1</x:v>
      </x:c>
      <x:c r="F15" s="26" t="str">
        <x:v>Cooking</x:v>
      </x:c>
      <x:c r="G15" s="36" t="n">
        <x:f>(D15+E15)/2</x:f>
        <x:v>1</x:v>
      </x:c>
      <x:c r="H15" s="36" t="n">
        <x:f>IF(B15="coins",1,IFERROR(XLOOKUP(B15,'Items Master'!$A:$A,'Items Master'!$J:$J,0),0))</x:f>
        <x:v>4</x:v>
      </x:c>
      <x:c r="I15" s="36" t="n">
        <x:f>C15/100*G15*H15</x:f>
        <x:v>0.4</x:v>
      </x:c>
    </x:row>
    <x:row r="16" ht="15" hidden="0" customHeight="1">
      <x:c r="A16" s="26" t="str">
        <x:v>mud_grub</x:v>
      </x:c>
      <x:c r="B16" s="26" t="str">
        <x:v>mud_grub_pet</x:v>
      </x:c>
      <x:c r="C16" s="36" t="n">
        <x:v>0.5</x:v>
      </x:c>
      <x:c r="D16" s="26" t="n">
        <x:v>1</x:v>
      </x:c>
      <x:c r="E16" s="26" t="n">
        <x:v>1</x:v>
      </x:c>
      <x:c r="F16" s="26" t="str">
        <x:v>Cosmetic</x:v>
      </x:c>
      <x:c r="G16" s="36" t="n">
        <x:f>(D16+E16)/2</x:f>
        <x:v>1</x:v>
      </x:c>
      <x:c r="H16" s="36" t="n">
        <x:f>IF(B16="coins",1,IFERROR(XLOOKUP(B16,'Items Master'!$A:$A,'Items Master'!$J:$J,0),0))</x:f>
        <x:v>1</x:v>
      </x:c>
      <x:c r="I16" s="36" t="n">
        <x:f>C16/100*G16*H16</x:f>
        <x:v>0.005</x:v>
      </x:c>
    </x:row>
    <x:row r="17" ht="15" hidden="0" customHeight="1">
      <x:c r="A17" s="26" t="str">
        <x:v>goblin_trainee</x:v>
      </x:c>
      <x:c r="B17" s="26" t="str">
        <x:v>coins</x:v>
      </x:c>
      <x:c r="C17" s="36" t="n">
        <x:v>45</x:v>
      </x:c>
      <x:c r="D17" s="26" t="n">
        <x:v>3</x:v>
      </x:c>
      <x:c r="E17" s="26" t="n">
        <x:v>8</x:v>
      </x:c>
      <x:c r="F17" s="26" t="str">
        <x:v>GP</x:v>
      </x:c>
      <x:c r="G17" s="36" t="n">
        <x:f>(D17+E17)/2</x:f>
        <x:v>5.5</x:v>
      </x:c>
      <x:c r="H17" s="36" t="n">
        <x:f>IF(B17="coins",1,IFERROR(XLOOKUP(B17,'Items Master'!$A:$A,'Items Master'!$J:$J,0),0))</x:f>
        <x:v>1</x:v>
      </x:c>
      <x:c r="I17" s="36" t="n">
        <x:f>C17/100*G17*H17</x:f>
        <x:v>2.475</x:v>
      </x:c>
    </x:row>
    <x:row r="18" ht="15" hidden="0" customHeight="1">
      <x:c r="A18" s="26" t="str">
        <x:v>goblin_trainee</x:v>
      </x:c>
      <x:c r="B18" s="26" t="str">
        <x:v>bronze_dagger</x:v>
      </x:c>
      <x:c r="C18" s="36" t="n">
        <x:v>10</x:v>
      </x:c>
      <x:c r="D18" s="26" t="n">
        <x:v>1</x:v>
      </x:c>
      <x:c r="E18" s="26" t="n">
        <x:v>1</x:v>
      </x:c>
      <x:c r="F18" s="26" t="str">
        <x:v>Weapon</x:v>
      </x:c>
      <x:c r="G18" s="36" t="n">
        <x:f>(D18+E18)/2</x:f>
        <x:v>1</x:v>
      </x:c>
      <x:c r="H18" s="36" t="n">
        <x:f>IF(B18="coins",1,IFERROR(XLOOKUP(B18,'Items Master'!$A:$A,'Items Master'!$J:$J,0),0))</x:f>
        <x:v>30</x:v>
      </x:c>
      <x:c r="I18" s="36" t="n">
        <x:f>C18/100*G18*H18</x:f>
        <x:v>3</x:v>
      </x:c>
    </x:row>
    <x:row r="19" ht="15" hidden="0" customHeight="1">
      <x:c r="A19" s="26" t="str">
        <x:v>goblin_trainee</x:v>
      </x:c>
      <x:c r="B19" s="26" t="str">
        <x:v>cooked_shrimp</x:v>
      </x:c>
      <x:c r="C19" s="36" t="n">
        <x:v>20</x:v>
      </x:c>
      <x:c r="D19" s="26" t="n">
        <x:v>1</x:v>
      </x:c>
      <x:c r="E19" s="26" t="n">
        <x:v>2</x:v>
      </x:c>
      <x:c r="F19" s="26" t="str">
        <x:v>Food</x:v>
      </x:c>
      <x:c r="G19" s="36" t="n">
        <x:f>(D19+E19)/2</x:f>
        <x:v>1.5</x:v>
      </x:c>
      <x:c r="H19" s="36" t="n">
        <x:f>IF(B19="coins",1,IFERROR(XLOOKUP(B19,'Items Master'!$A:$A,'Items Master'!$J:$J,0),0))</x:f>
        <x:v>4</x:v>
      </x:c>
      <x:c r="I19" s="36" t="n">
        <x:f>C19/100*G19*H19</x:f>
        <x:v>1.2000000000000002</x:v>
      </x:c>
    </x:row>
    <x:row r="20" ht="15" hidden="0" customHeight="1">
      <x:c r="A20" s="26" t="str">
        <x:v>goblin_trainee</x:v>
      </x:c>
      <x:c r="B20" s="26" t="str">
        <x:v>torn_cloth</x:v>
      </x:c>
      <x:c r="C20" s="36" t="n">
        <x:v>25</x:v>
      </x:c>
      <x:c r="D20" s="26" t="n">
        <x:v>1</x:v>
      </x:c>
      <x:c r="E20" s="26" t="n">
        <x:v>2</x:v>
      </x:c>
      <x:c r="F20" s="26" t="str">
        <x:v>Crafting</x:v>
      </x:c>
      <x:c r="G20" s="36" t="n">
        <x:f>(D20+E20)/2</x:f>
        <x:v>1.5</x:v>
      </x:c>
      <x:c r="H20" s="36" t="n">
        <x:f>IF(B20="coins",1,IFERROR(XLOOKUP(B20,'Items Master'!$A:$A,'Items Master'!$J:$J,0),0))</x:f>
        <x:v>50</x:v>
      </x:c>
      <x:c r="I20" s="36" t="n">
        <x:f>C20/100*G20*H20</x:f>
        <x:v>18.75</x:v>
      </x:c>
    </x:row>
    <x:row r="21" ht="15" hidden="0" customHeight="1">
      <x:c r="A21" s="26" t="str">
        <x:v>goblin_trainee</x:v>
      </x:c>
      <x:c r="B21" s="26" t="str">
        <x:v>trainee_headband</x:v>
      </x:c>
      <x:c r="C21" s="36" t="n">
        <x:v>2</x:v>
      </x:c>
      <x:c r="D21" s="26" t="n">
        <x:v>1</x:v>
      </x:c>
      <x:c r="E21" s="26" t="n">
        <x:v>1</x:v>
      </x:c>
      <x:c r="F21" s="26" t="str">
        <x:v>Unique</x:v>
      </x:c>
      <x:c r="G21" s="36" t="n">
        <x:f>(D21+E21)/2</x:f>
        <x:v>1</x:v>
      </x:c>
      <x:c r="H21" s="36" t="n">
        <x:f>IF(B21="coins",1,IFERROR(XLOOKUP(B21,'Items Master'!$A:$A,'Items Master'!$J:$J,0),0))</x:f>
        <x:v>4</x:v>
      </x:c>
      <x:c r="I21" s="36" t="n">
        <x:f>C21/100*G21*H21</x:f>
        <x:v>0.08</x:v>
      </x:c>
    </x:row>
    <x:row r="22" ht="15" hidden="0" customHeight="1">
      <x:c r="A22" s="26" t="str">
        <x:v>giant_spider</x:v>
      </x:c>
      <x:c r="B22" s="26" t="str">
        <x:v>spider_silk</x:v>
      </x:c>
      <x:c r="C22" s="36" t="n">
        <x:v>45</x:v>
      </x:c>
      <x:c r="D22" s="26" t="n">
        <x:v>1</x:v>
      </x:c>
      <x:c r="E22" s="26" t="n">
        <x:v>2</x:v>
      </x:c>
      <x:c r="F22" s="26" t="str">
        <x:v>Crafting/Ranged</x:v>
      </x:c>
      <x:c r="G22" s="36" t="n">
        <x:f>(D22+E22)/2</x:f>
        <x:v>1.5</x:v>
      </x:c>
      <x:c r="H22" s="36" t="n">
        <x:f>IF(B22="coins",1,IFERROR(XLOOKUP(B22,'Items Master'!$A:$A,'Items Master'!$J:$J,0),0))</x:f>
        <x:v>18</x:v>
      </x:c>
      <x:c r="I22" s="36" t="n">
        <x:f>C22/100*G22*H22</x:f>
        <x:v>12.15</x:v>
      </x:c>
    </x:row>
    <x:row r="23" ht="15" hidden="0" customHeight="1">
      <x:c r="A23" s="26" t="str">
        <x:v>giant_spider</x:v>
      </x:c>
      <x:c r="B23" s="26" t="str">
        <x:v>poison_gland</x:v>
      </x:c>
      <x:c r="C23" s="36" t="n">
        <x:v>15</x:v>
      </x:c>
      <x:c r="D23" s="26" t="n">
        <x:v>1</x:v>
      </x:c>
      <x:c r="E23" s="26" t="n">
        <x:v>1</x:v>
      </x:c>
      <x:c r="F23" s="26" t="str">
        <x:v>Poison arrows</x:v>
      </x:c>
      <x:c r="G23" s="36" t="n">
        <x:f>(D23+E23)/2</x:f>
        <x:v>1</x:v>
      </x:c>
      <x:c r="H23" s="36" t="n">
        <x:f>IF(B23="coins",1,IFERROR(XLOOKUP(B23,'Items Master'!$A:$A,'Items Master'!$J:$J,0),0))</x:f>
        <x:v>35</x:v>
      </x:c>
      <x:c r="I23" s="36" t="n">
        <x:f>C23/100*G23*H23</x:f>
        <x:v>5.25</x:v>
      </x:c>
    </x:row>
    <x:row r="24" ht="15" hidden="0" customHeight="1">
      <x:c r="A24" s="26" t="str">
        <x:v>giant_spider</x:v>
      </x:c>
      <x:c r="B24" s="26" t="str">
        <x:v>bones</x:v>
      </x:c>
      <x:c r="C24" s="36" t="n">
        <x:v>25</x:v>
      </x:c>
      <x:c r="D24" s="26" t="n">
        <x:v>1</x:v>
      </x:c>
      <x:c r="E24" s="26" t="n">
        <x:v>1</x:v>
      </x:c>
      <x:c r="F24" s="26" t="str">
        <x:v>Crafting</x:v>
      </x:c>
      <x:c r="G24" s="36" t="n">
        <x:f>(D24+E24)/2</x:f>
        <x:v>1</x:v>
      </x:c>
      <x:c r="H24" s="36" t="n">
        <x:f>IF(B24="coins",1,IFERROR(XLOOKUP(B24,'Items Master'!$A:$A,'Items Master'!$J:$J,0),0))</x:f>
        <x:v>5</x:v>
      </x:c>
      <x:c r="I24" s="36" t="n">
        <x:f>C24/100*G24*H24</x:f>
        <x:v>1.25</x:v>
      </x:c>
    </x:row>
    <x:row r="25" ht="15" hidden="0" customHeight="1">
      <x:c r="A25" s="26" t="str">
        <x:v>giant_spider</x:v>
      </x:c>
      <x:c r="B25" s="26" t="str">
        <x:v>coins</x:v>
      </x:c>
      <x:c r="C25" s="36" t="n">
        <x:v>20</x:v>
      </x:c>
      <x:c r="D25" s="26" t="n">
        <x:v>5</x:v>
      </x:c>
      <x:c r="E25" s="26" t="n">
        <x:v>12</x:v>
      </x:c>
      <x:c r="F25" s="26" t="str">
        <x:v>GP</x:v>
      </x:c>
      <x:c r="G25" s="36" t="n">
        <x:f>(D25+E25)/2</x:f>
        <x:v>8.5</x:v>
      </x:c>
      <x:c r="H25" s="36" t="n">
        <x:f>IF(B25="coins",1,IFERROR(XLOOKUP(B25,'Items Master'!$A:$A,'Items Master'!$J:$J,0),0))</x:f>
        <x:v>1</x:v>
      </x:c>
      <x:c r="I25" s="36" t="n">
        <x:f>C25/100*G25*H25</x:f>
        <x:v>1.7000000000000002</x:v>
      </x:c>
    </x:row>
    <x:row r="26" ht="15" hidden="0" customHeight="1">
      <x:c r="A26" s="26" t="str">
        <x:v>giant_spider</x:v>
      </x:c>
      <x:c r="B26" s="26" t="str">
        <x:v>spider_fang_dagger</x:v>
      </x:c>
      <x:c r="C26" s="36" t="n">
        <x:v>1</x:v>
      </x:c>
      <x:c r="D26" s="26" t="n">
        <x:v>1</x:v>
      </x:c>
      <x:c r="E26" s="26" t="n">
        <x:v>1</x:v>
      </x:c>
      <x:c r="F26" s="26" t="str">
        <x:v>Unique</x:v>
      </x:c>
      <x:c r="G26" s="36" t="n">
        <x:f>(D26+E26)/2</x:f>
        <x:v>1</x:v>
      </x:c>
      <x:c r="H26" s="36" t="n">
        <x:f>IF(B26="coins",1,IFERROR(XLOOKUP(B26,'Items Master'!$A:$A,'Items Master'!$J:$J,0),0))</x:f>
        <x:v>2</x:v>
      </x:c>
      <x:c r="I26" s="36" t="n">
        <x:f>C26/100*G26*H26</x:f>
        <x:v>0.02</x:v>
      </x:c>
    </x:row>
    <x:row r="27" ht="15" hidden="0" customHeight="1">
      <x:c r="A27" s="26" t="str">
        <x:v>forest_rat</x:v>
      </x:c>
      <x:c r="B27" s="26" t="str">
        <x:v>rat_meat</x:v>
      </x:c>
      <x:c r="C27" s="36" t="n">
        <x:v>45</x:v>
      </x:c>
      <x:c r="D27" s="26" t="n">
        <x:v>1</x:v>
      </x:c>
      <x:c r="E27" s="26" t="n">
        <x:v>1</x:v>
      </x:c>
      <x:c r="F27" s="26" t="str">
        <x:v>Cooking</x:v>
      </x:c>
      <x:c r="G27" s="36" t="n">
        <x:f>(D27+E27)/2</x:f>
        <x:v>1</x:v>
      </x:c>
      <x:c r="H27" s="36" t="n">
        <x:f>IF(B27="coins",1,IFERROR(XLOOKUP(B27,'Items Master'!$A:$A,'Items Master'!$J:$J,0),0))</x:f>
        <x:v>3</x:v>
      </x:c>
      <x:c r="I27" s="36" t="n">
        <x:f>C27/100*G27*H27</x:f>
        <x:v>1.35</x:v>
      </x:c>
    </x:row>
    <x:row r="28" ht="15" hidden="0" customHeight="1">
      <x:c r="A28" s="26" t="str">
        <x:v>forest_rat</x:v>
      </x:c>
      <x:c r="B28" s="26" t="str">
        <x:v>hide_scrap</x:v>
      </x:c>
      <x:c r="C28" s="36" t="n">
        <x:v>35</x:v>
      </x:c>
      <x:c r="D28" s="26" t="n">
        <x:v>1</x:v>
      </x:c>
      <x:c r="E28" s="26" t="n">
        <x:v>2</x:v>
      </x:c>
      <x:c r="F28" s="26" t="str">
        <x:v>Crafting</x:v>
      </x:c>
      <x:c r="G28" s="36" t="n">
        <x:f>(D28+E28)/2</x:f>
        <x:v>1.5</x:v>
      </x:c>
      <x:c r="H28" s="36" t="n">
        <x:f>IF(B28="coins",1,IFERROR(XLOOKUP(B28,'Items Master'!$A:$A,'Items Master'!$J:$J,0),0))</x:f>
        <x:v>8</x:v>
      </x:c>
      <x:c r="I28" s="36" t="n">
        <x:f>C28/100*G28*H28</x:f>
        <x:v>4.199999999999999</x:v>
      </x:c>
    </x:row>
    <x:row r="29" ht="15" hidden="0" customHeight="1">
      <x:c r="A29" s="26" t="str">
        <x:v>forest_rat</x:v>
      </x:c>
      <x:c r="B29" s="26" t="str">
        <x:v>bones</x:v>
      </x:c>
      <x:c r="C29" s="36" t="n">
        <x:v>30</x:v>
      </x:c>
      <x:c r="D29" s="26" t="n">
        <x:v>1</x:v>
      </x:c>
      <x:c r="E29" s="26" t="n">
        <x:v>1</x:v>
      </x:c>
      <x:c r="F29" s="26" t="str">
        <x:v>Crafting</x:v>
      </x:c>
      <x:c r="G29" s="36" t="n">
        <x:f>(D29+E29)/2</x:f>
        <x:v>1</x:v>
      </x:c>
      <x:c r="H29" s="36" t="n">
        <x:f>IF(B29="coins",1,IFERROR(XLOOKUP(B29,'Items Master'!$A:$A,'Items Master'!$J:$J,0),0))</x:f>
        <x:v>5</x:v>
      </x:c>
      <x:c r="I29" s="36" t="n">
        <x:f>C29/100*G29*H29</x:f>
        <x:v>1.5</x:v>
      </x:c>
    </x:row>
    <x:row r="30" ht="15" hidden="0" customHeight="1">
      <x:c r="A30" s="26" t="str">
        <x:v>forest_rat</x:v>
      </x:c>
      <x:c r="B30" s="26" t="str">
        <x:v>oak_logs</x:v>
      </x:c>
      <x:c r="C30" s="36" t="n">
        <x:v>10</x:v>
      </x:c>
      <x:c r="D30" s="26" t="n">
        <x:v>1</x:v>
      </x:c>
      <x:c r="E30" s="26" t="n">
        <x:v>1</x:v>
      </x:c>
      <x:c r="F30" s="26" t="str">
        <x:v>Wood</x:v>
      </x:c>
      <x:c r="G30" s="36" t="n">
        <x:f>(D30+E30)/2</x:f>
        <x:v>1</x:v>
      </x:c>
      <x:c r="H30" s="36" t="n">
        <x:f>IF(B30="coins",1,IFERROR(XLOOKUP(B30,'Items Master'!$A:$A,'Items Master'!$J:$J,0),0))</x:f>
        <x:v>8</x:v>
      </x:c>
      <x:c r="I30" s="36" t="n">
        <x:f>C30/100*G30*H30</x:f>
        <x:v>0.8</x:v>
      </x:c>
    </x:row>
    <x:row r="31" ht="15" hidden="0" customHeight="1">
      <x:c r="A31" s="26" t="str">
        <x:v>forest_rat</x:v>
      </x:c>
      <x:c r="B31" s="26" t="str">
        <x:v>forest_rat_tail</x:v>
      </x:c>
      <x:c r="C31" s="36" t="n">
        <x:v>3</x:v>
      </x:c>
      <x:c r="D31" s="26" t="n">
        <x:v>1</x:v>
      </x:c>
      <x:c r="E31" s="26" t="n">
        <x:v>1</x:v>
      </x:c>
      <x:c r="F31" s="26" t="str">
        <x:v>Quest</x:v>
      </x:c>
      <x:c r="G31" s="36" t="n">
        <x:f>(D31+E31)/2</x:f>
        <x:v>1</x:v>
      </x:c>
      <x:c r="H31" s="36" t="n">
        <x:f>IF(B31="coins",1,IFERROR(XLOOKUP(B31,'Items Master'!$A:$A,'Items Master'!$J:$J,0),0))</x:f>
        <x:v>6</x:v>
      </x:c>
      <x:c r="I31" s="36" t="n">
        <x:f>C31/100*G31*H31</x:f>
        <x:v>0.18</x:v>
      </x:c>
    </x:row>
    <x:row r="32" ht="15" hidden="0" customHeight="1">
      <x:c r="A32" s="26" t="str">
        <x:v>river_bandit</x:v>
      </x:c>
      <x:c r="B32" s="26" t="str">
        <x:v>coins</x:v>
      </x:c>
      <x:c r="C32" s="36" t="n">
        <x:v>60</x:v>
      </x:c>
      <x:c r="D32" s="26" t="n">
        <x:v>10</x:v>
      </x:c>
      <x:c r="E32" s="26" t="n">
        <x:v>30</x:v>
      </x:c>
      <x:c r="F32" s="26" t="str">
        <x:v>GP</x:v>
      </x:c>
      <x:c r="G32" s="36" t="n">
        <x:f>(D32+E32)/2</x:f>
        <x:v>20</x:v>
      </x:c>
      <x:c r="H32" s="36" t="n">
        <x:f>IF(B32="coins",1,IFERROR(XLOOKUP(B32,'Items Master'!$A:$A,'Items Master'!$J:$J,0),0))</x:f>
        <x:v>1</x:v>
      </x:c>
      <x:c r="I32" s="36" t="n">
        <x:f>C32/100*G32*H32</x:f>
        <x:v>12</x:v>
      </x:c>
    </x:row>
    <x:row r="33" ht="15" hidden="0" customHeight="1">
      <x:c r="A33" s="26" t="str">
        <x:v>river_bandit</x:v>
      </x:c>
      <x:c r="B33" s="26" t="str">
        <x:v>raw_trout</x:v>
      </x:c>
      <x:c r="C33" s="36" t="n">
        <x:v>20</x:v>
      </x:c>
      <x:c r="D33" s="26" t="n">
        <x:v>1</x:v>
      </x:c>
      <x:c r="E33" s="26" t="n">
        <x:v>2</x:v>
      </x:c>
      <x:c r="F33" s="26" t="str">
        <x:v>Food</x:v>
      </x:c>
      <x:c r="G33" s="36" t="n">
        <x:f>(D33+E33)/2</x:f>
        <x:v>1.5</x:v>
      </x:c>
      <x:c r="H33" s="36" t="n">
        <x:f>IF(B33="coins",1,IFERROR(XLOOKUP(B33,'Items Master'!$A:$A,'Items Master'!$J:$J,0),0))</x:f>
        <x:v>8</x:v>
      </x:c>
      <x:c r="I33" s="36" t="n">
        <x:f>C33/100*G33*H33</x:f>
        <x:v>2.4000000000000004</x:v>
      </x:c>
    </x:row>
    <x:row r="34" ht="15" hidden="0" customHeight="1">
      <x:c r="A34" s="26" t="str">
        <x:v>river_bandit</x:v>
      </x:c>
      <x:c r="B34" s="26" t="str">
        <x:v>fishing_bait</x:v>
      </x:c>
      <x:c r="C34" s="36" t="n">
        <x:v>25</x:v>
      </x:c>
      <x:c r="D34" s="26" t="n">
        <x:v>5</x:v>
      </x:c>
      <x:c r="E34" s="26" t="n">
        <x:v>12</x:v>
      </x:c>
      <x:c r="F34" s="26" t="str">
        <x:v>Fishing</x:v>
      </x:c>
      <x:c r="G34" s="36" t="n">
        <x:f>(D34+E34)/2</x:f>
        <x:v>8.5</x:v>
      </x:c>
      <x:c r="H34" s="36" t="n">
        <x:f>IF(B34="coins",1,IFERROR(XLOOKUP(B34,'Items Master'!$A:$A,'Items Master'!$J:$J,0),0))</x:f>
        <x:v>50</x:v>
      </x:c>
      <x:c r="I34" s="36" t="n">
        <x:f>C34/100*G34*H34</x:f>
        <x:v>106.25</x:v>
      </x:c>
    </x:row>
    <x:row r="35" ht="15" hidden="0" customHeight="1">
      <x:c r="A35" s="26" t="str">
        <x:v>river_bandit</x:v>
      </x:c>
      <x:c r="B35" s="26" t="str">
        <x:v>bronze_sword</x:v>
      </x:c>
      <x:c r="C35" s="36" t="n">
        <x:v>8</x:v>
      </x:c>
      <x:c r="D35" s="26" t="n">
        <x:v>1</x:v>
      </x:c>
      <x:c r="E35" s="26" t="n">
        <x:v>1</x:v>
      </x:c>
      <x:c r="F35" s="26" t="str">
        <x:v>Weapon</x:v>
      </x:c>
      <x:c r="G35" s="36" t="n">
        <x:f>(D35+E35)/2</x:f>
        <x:v>1</x:v>
      </x:c>
      <x:c r="H35" s="36" t="n">
        <x:f>IF(B35="coins",1,IFERROR(XLOOKUP(B35,'Items Master'!$A:$A,'Items Master'!$J:$J,0),0))</x:f>
        <x:v>16</x:v>
      </x:c>
      <x:c r="I35" s="36" t="n">
        <x:f>C35/100*G35*H35</x:f>
        <x:v>1.28</x:v>
      </x:c>
    </x:row>
    <x:row r="36" ht="15" hidden="0" customHeight="1">
      <x:c r="A36" s="26" t="str">
        <x:v>river_bandit</x:v>
      </x:c>
      <x:c r="B36" s="26" t="str">
        <x:v>bandit_hook</x:v>
      </x:c>
      <x:c r="C36" s="36" t="n">
        <x:v>2</x:v>
      </x:c>
      <x:c r="D36" s="26" t="n">
        <x:v>1</x:v>
      </x:c>
      <x:c r="E36" s="26" t="n">
        <x:v>1</x:v>
      </x:c>
      <x:c r="F36" s="26" t="str">
        <x:v>Unique</x:v>
      </x:c>
      <x:c r="G36" s="36" t="n">
        <x:f>(D36+E36)/2</x:f>
        <x:v>1</x:v>
      </x:c>
      <x:c r="H36" s="36" t="n">
        <x:f>IF(B36="coins",1,IFERROR(XLOOKUP(B36,'Items Master'!$A:$A,'Items Master'!$J:$J,0),0))</x:f>
        <x:v>4</x:v>
      </x:c>
      <x:c r="I36" s="36" t="n">
        <x:f>C36/100*G36*H36</x:f>
        <x:v>0.08</x:v>
      </x:c>
    </x:row>
    <x:row r="37" ht="15" hidden="0" customHeight="1">
      <x:c r="A37" s="26" t="str">
        <x:v>mud_bug</x:v>
      </x:c>
      <x:c r="B37" s="26" t="str">
        <x:v>bug_shell</x:v>
      </x:c>
      <x:c r="C37" s="36" t="n">
        <x:v>40</x:v>
      </x:c>
      <x:c r="D37" s="26" t="n">
        <x:v>1</x:v>
      </x:c>
      <x:c r="E37" s="26" t="n">
        <x:v>2</x:v>
      </x:c>
      <x:c r="F37" s="26" t="str">
        <x:v>Crafting</x:v>
      </x:c>
      <x:c r="G37" s="36" t="n">
        <x:f>(D37+E37)/2</x:f>
        <x:v>1.5</x:v>
      </x:c>
      <x:c r="H37" s="36" t="n">
        <x:f>IF(B37="coins",1,IFERROR(XLOOKUP(B37,'Items Master'!$A:$A,'Items Master'!$J:$J,0),0))</x:f>
        <x:v>10</x:v>
      </x:c>
      <x:c r="I37" s="36" t="n">
        <x:f>C37/100*G37*H37</x:f>
        <x:v>6.000000000000001</x:v>
      </x:c>
    </x:row>
    <x:row r="38" ht="15" hidden="0" customHeight="1">
      <x:c r="A38" s="26" t="str">
        <x:v>mud_bug</x:v>
      </x:c>
      <x:c r="B38" s="26" t="str">
        <x:v>slime_glob</x:v>
      </x:c>
      <x:c r="C38" s="36" t="n">
        <x:v>35</x:v>
      </x:c>
      <x:c r="D38" s="26" t="n">
        <x:v>1</x:v>
      </x:c>
      <x:c r="E38" s="26" t="n">
        <x:v>2</x:v>
      </x:c>
      <x:c r="F38" s="26" t="str">
        <x:v>Crafting</x:v>
      </x:c>
      <x:c r="G38" s="36" t="n">
        <x:f>(D38+E38)/2</x:f>
        <x:v>1.5</x:v>
      </x:c>
      <x:c r="H38" s="36" t="n">
        <x:f>IF(B38="coins",1,IFERROR(XLOOKUP(B38,'Items Master'!$A:$A,'Items Master'!$J:$J,0),0))</x:f>
        <x:v>20</x:v>
      </x:c>
      <x:c r="I38" s="36" t="n">
        <x:f>C38/100*G38*H38</x:f>
        <x:v>10.499999999999998</x:v>
      </x:c>
    </x:row>
    <x:row r="39" ht="15" hidden="0" customHeight="1">
      <x:c r="A39" s="26" t="str">
        <x:v>mud_bug</x:v>
      </x:c>
      <x:c r="B39" s="26" t="str">
        <x:v>clay</x:v>
      </x:c>
      <x:c r="C39" s="36" t="n">
        <x:v>25</x:v>
      </x:c>
      <x:c r="D39" s="26" t="n">
        <x:v>1</x:v>
      </x:c>
      <x:c r="E39" s="26" t="n">
        <x:v>2</x:v>
      </x:c>
      <x:c r="F39" s="26" t="str">
        <x:v>Crafting</x:v>
      </x:c>
      <x:c r="G39" s="36" t="n">
        <x:f>(D39+E39)/2</x:f>
        <x:v>1.5</x:v>
      </x:c>
      <x:c r="H39" s="36" t="n">
        <x:f>IF(B39="coins",1,IFERROR(XLOOKUP(B39,'Items Master'!$A:$A,'Items Master'!$J:$J,0),0))</x:f>
        <x:v>5</x:v>
      </x:c>
      <x:c r="I39" s="36" t="n">
        <x:f>C39/100*G39*H39</x:f>
        <x:v>1.875</x:v>
      </x:c>
    </x:row>
    <x:row r="40" ht="15" hidden="0" customHeight="1">
      <x:c r="A40" s="26" t="str">
        <x:v>mud_bug</x:v>
      </x:c>
      <x:c r="B40" s="26" t="str">
        <x:v>raw_mudfish</x:v>
      </x:c>
      <x:c r="C40" s="36" t="n">
        <x:v>15</x:v>
      </x:c>
      <x:c r="D40" s="26" t="n">
        <x:v>1</x:v>
      </x:c>
      <x:c r="E40" s="26" t="n">
        <x:v>2</x:v>
      </x:c>
      <x:c r="F40" s="26" t="str">
        <x:v>Cooking</x:v>
      </x:c>
      <x:c r="G40" s="36" t="n">
        <x:f>(D40+E40)/2</x:f>
        <x:v>1.5</x:v>
      </x:c>
      <x:c r="H40" s="36" t="n">
        <x:f>IF(B40="coins",1,IFERROR(XLOOKUP(B40,'Items Master'!$A:$A,'Items Master'!$J:$J,0),0))</x:f>
        <x:v>4</x:v>
      </x:c>
      <x:c r="I40" s="36" t="n">
        <x:f>C40/100*G40*H40</x:f>
        <x:v>0.8999999999999999</x:v>
      </x:c>
    </x:row>
    <x:row r="41" ht="15" hidden="0" customHeight="1">
      <x:c r="A41" s="26" t="str">
        <x:v>mud_bug</x:v>
      </x:c>
      <x:c r="B41" s="26" t="str">
        <x:v>mud_shell_shield</x:v>
      </x:c>
      <x:c r="C41" s="36" t="n">
        <x:v>1</x:v>
      </x:c>
      <x:c r="D41" s="26" t="n">
        <x:v>1</x:v>
      </x:c>
      <x:c r="E41" s="26" t="n">
        <x:v>1</x:v>
      </x:c>
      <x:c r="F41" s="26" t="str">
        <x:v>Unique</x:v>
      </x:c>
      <x:c r="G41" s="36" t="n">
        <x:f>(D41+E41)/2</x:f>
        <x:v>1</x:v>
      </x:c>
      <x:c r="H41" s="36" t="n">
        <x:f>IF(B41="coins",1,IFERROR(XLOOKUP(B41,'Items Master'!$A:$A,'Items Master'!$J:$J,0),0))</x:f>
        <x:v>2</x:v>
      </x:c>
      <x:c r="I41" s="36" t="n">
        <x:f>C41/100*G41*H41</x:f>
        <x:v>0.02</x:v>
      </x:c>
    </x:row>
    <x:row r="42" ht="15" hidden="0" customHeight="1">
      <x:c r="A42" s="26" t="str">
        <x:v>crazed_fisher_gob</x:v>
      </x:c>
      <x:c r="B42" s="26" t="str">
        <x:v>raw_trout</x:v>
      </x:c>
      <x:c r="C42" s="36" t="n">
        <x:v>35</x:v>
      </x:c>
      <x:c r="D42" s="26" t="n">
        <x:v>1</x:v>
      </x:c>
      <x:c r="E42" s="26" t="n">
        <x:v>2</x:v>
      </x:c>
      <x:c r="F42" s="26" t="str">
        <x:v>Cooking</x:v>
      </x:c>
      <x:c r="G42" s="36" t="n">
        <x:f>(D42+E42)/2</x:f>
        <x:v>1.5</x:v>
      </x:c>
      <x:c r="H42" s="36" t="n">
        <x:f>IF(B42="coins",1,IFERROR(XLOOKUP(B42,'Items Master'!$A:$A,'Items Master'!$J:$J,0),0))</x:f>
        <x:v>8</x:v>
      </x:c>
      <x:c r="I42" s="36" t="n">
        <x:f>C42/100*G42*H42</x:f>
        <x:v>4.199999999999999</x:v>
      </x:c>
    </x:row>
    <x:row r="43" ht="15" hidden="0" customHeight="1">
      <x:c r="A43" s="26" t="str">
        <x:v>crazed_fisher_gob</x:v>
      </x:c>
      <x:c r="B43" s="26" t="str">
        <x:v>raw_pike</x:v>
      </x:c>
      <x:c r="C43" s="36" t="n">
        <x:v>15</x:v>
      </x:c>
      <x:c r="D43" s="26" t="n">
        <x:v>1</x:v>
      </x:c>
      <x:c r="E43" s="26" t="n">
        <x:v>1</x:v>
      </x:c>
      <x:c r="F43" s="26" t="str">
        <x:v>Cooking</x:v>
      </x:c>
      <x:c r="G43" s="36" t="n">
        <x:f>(D43+E43)/2</x:f>
        <x:v>1</x:v>
      </x:c>
      <x:c r="H43" s="36" t="n">
        <x:f>IF(B43="coins",1,IFERROR(XLOOKUP(B43,'Items Master'!$A:$A,'Items Master'!$J:$J,0),0))</x:f>
        <x:v>22</x:v>
      </x:c>
      <x:c r="I43" s="36" t="n">
        <x:f>C43/100*G43*H43</x:f>
        <x:v>3.3</x:v>
      </x:c>
    </x:row>
    <x:row r="44" ht="15" hidden="0" customHeight="1">
      <x:c r="A44" s="26" t="str">
        <x:v>crazed_fisher_gob</x:v>
      </x:c>
      <x:c r="B44" s="26" t="str">
        <x:v>fishing_rod</x:v>
      </x:c>
      <x:c r="C44" s="36" t="n">
        <x:v>10</x:v>
      </x:c>
      <x:c r="D44" s="26" t="n">
        <x:v>1</x:v>
      </x:c>
      <x:c r="E44" s="26" t="n">
        <x:v>1</x:v>
      </x:c>
      <x:c r="F44" s="26" t="str">
        <x:v>Tool</x:v>
      </x:c>
      <x:c r="G44" s="36" t="n">
        <x:f>(D44+E44)/2</x:f>
        <x:v>1</x:v>
      </x:c>
      <x:c r="H44" s="36" t="n">
        <x:f>IF(B44="coins",1,IFERROR(XLOOKUP(B44,'Items Master'!$A:$A,'Items Master'!$J:$J,0),0))</x:f>
        <x:v>35</x:v>
      </x:c>
      <x:c r="I44" s="36" t="n">
        <x:f>C44/100*G44*H44</x:f>
        <x:v>3.5</x:v>
      </x:c>
    </x:row>
    <x:row r="45" ht="15" hidden="0" customHeight="1">
      <x:c r="A45" s="26" t="str">
        <x:v>crazed_fisher_gob</x:v>
      </x:c>
      <x:c r="B45" s="26" t="str">
        <x:v>coins</x:v>
      </x:c>
      <x:c r="C45" s="36" t="n">
        <x:v>45</x:v>
      </x:c>
      <x:c r="D45" s="26" t="n">
        <x:v>15</x:v>
      </x:c>
      <x:c r="E45" s="26" t="n">
        <x:v>40</x:v>
      </x:c>
      <x:c r="F45" s="26" t="str">
        <x:v>GP</x:v>
      </x:c>
      <x:c r="G45" s="36" t="n">
        <x:f>(D45+E45)/2</x:f>
        <x:v>27.5</x:v>
      </x:c>
      <x:c r="H45" s="36" t="n">
        <x:f>IF(B45="coins",1,IFERROR(XLOOKUP(B45,'Items Master'!$A:$A,'Items Master'!$J:$J,0),0))</x:f>
        <x:v>1</x:v>
      </x:c>
      <x:c r="I45" s="36" t="n">
        <x:f>C45/100*G45*H45</x:f>
        <x:v>12.375</x:v>
      </x:c>
    </x:row>
    <x:row r="46" ht="15" hidden="0" customHeight="1">
      <x:c r="A46" s="26" t="str">
        <x:v>crazed_fisher_gob</x:v>
      </x:c>
      <x:c r="B46" s="26" t="str">
        <x:v>fisher_gob_hat</x:v>
      </x:c>
      <x:c r="C46" s="36" t="n">
        <x:v>2</x:v>
      </x:c>
      <x:c r="D46" s="26" t="n">
        <x:v>1</x:v>
      </x:c>
      <x:c r="E46" s="26" t="n">
        <x:v>1</x:v>
      </x:c>
      <x:c r="F46" s="26" t="str">
        <x:v>Unique</x:v>
      </x:c>
      <x:c r="G46" s="36" t="n">
        <x:f>(D46+E46)/2</x:f>
        <x:v>1</x:v>
      </x:c>
      <x:c r="H46" s="36" t="n">
        <x:f>IF(B46="coins",1,IFERROR(XLOOKUP(B46,'Items Master'!$A:$A,'Items Master'!$J:$J,0),0))</x:f>
        <x:v>4</x:v>
      </x:c>
      <x:c r="I46" s="36" t="n">
        <x:f>C46/100*G46*H46</x:f>
        <x:v>0.08</x:v>
      </x:c>
    </x:row>
    <x:row r="47" ht="15" hidden="0" customHeight="1">
      <x:c r="A47" s="26" t="str">
        <x:v>oak_boar</x:v>
      </x:c>
      <x:c r="B47" s="26" t="str">
        <x:v>boar_meat</x:v>
      </x:c>
      <x:c r="C47" s="36" t="n">
        <x:v>55</x:v>
      </x:c>
      <x:c r="D47" s="26" t="n">
        <x:v>1</x:v>
      </x:c>
      <x:c r="E47" s="26" t="n">
        <x:v>2</x:v>
      </x:c>
      <x:c r="F47" s="26" t="str">
        <x:v>Cooking</x:v>
      </x:c>
      <x:c r="G47" s="36" t="n">
        <x:f>(D47+E47)/2</x:f>
        <x:v>1.5</x:v>
      </x:c>
      <x:c r="H47" s="36" t="n">
        <x:f>IF(B47="coins",1,IFERROR(XLOOKUP(B47,'Items Master'!$A:$A,'Items Master'!$J:$J,0),0))</x:f>
        <x:v>12</x:v>
      </x:c>
      <x:c r="I47" s="36" t="n">
        <x:f>C47/100*G47*H47</x:f>
        <x:v>9.9</x:v>
      </x:c>
    </x:row>
    <x:row r="48" ht="15" hidden="0" customHeight="1">
      <x:c r="A48" s="26" t="str">
        <x:v>oak_boar</x:v>
      </x:c>
      <x:c r="B48" s="26" t="str">
        <x:v>tough_hide</x:v>
      </x:c>
      <x:c r="C48" s="36" t="n">
        <x:v>35</x:v>
      </x:c>
      <x:c r="D48" s="26" t="n">
        <x:v>1</x:v>
      </x:c>
      <x:c r="E48" s="26" t="n">
        <x:v>2</x:v>
      </x:c>
      <x:c r="F48" s="26" t="str">
        <x:v>Crafting</x:v>
      </x:c>
      <x:c r="G48" s="36" t="n">
        <x:f>(D48+E48)/2</x:f>
        <x:v>1.5</x:v>
      </x:c>
      <x:c r="H48" s="36" t="n">
        <x:f>IF(B48="coins",1,IFERROR(XLOOKUP(B48,'Items Master'!$A:$A,'Items Master'!$J:$J,0),0))</x:f>
        <x:v>25</x:v>
      </x:c>
      <x:c r="I48" s="36" t="n">
        <x:f>C48/100*G48*H48</x:f>
        <x:v>13.124999999999998</x:v>
      </x:c>
    </x:row>
    <x:row r="49" ht="15" hidden="0" customHeight="1">
      <x:c r="A49" s="26" t="str">
        <x:v>oak_boar</x:v>
      </x:c>
      <x:c r="B49" s="26" t="str">
        <x:v>bones</x:v>
      </x:c>
      <x:c r="C49" s="36" t="n">
        <x:v>30</x:v>
      </x:c>
      <x:c r="D49" s="26" t="n">
        <x:v>1</x:v>
      </x:c>
      <x:c r="E49" s="26" t="n">
        <x:v>2</x:v>
      </x:c>
      <x:c r="F49" s="26" t="str">
        <x:v>Crafting</x:v>
      </x:c>
      <x:c r="G49" s="36" t="n">
        <x:f>(D49+E49)/2</x:f>
        <x:v>1.5</x:v>
      </x:c>
      <x:c r="H49" s="36" t="n">
        <x:f>IF(B49="coins",1,IFERROR(XLOOKUP(B49,'Items Master'!$A:$A,'Items Master'!$J:$J,0),0))</x:f>
        <x:v>5</x:v>
      </x:c>
      <x:c r="I49" s="36" t="n">
        <x:f>C49/100*G49*H49</x:f>
        <x:v>2.25</x:v>
      </x:c>
    </x:row>
    <x:row r="50" ht="15" hidden="0" customHeight="1">
      <x:c r="A50" s="26" t="str">
        <x:v>oak_boar</x:v>
      </x:c>
      <x:c r="B50" s="26" t="str">
        <x:v>oak_logs</x:v>
      </x:c>
      <x:c r="C50" s="36" t="n">
        <x:v>15</x:v>
      </x:c>
      <x:c r="D50" s="26" t="n">
        <x:v>1</x:v>
      </x:c>
      <x:c r="E50" s="26" t="n">
        <x:v>2</x:v>
      </x:c>
      <x:c r="F50" s="26" t="str">
        <x:v>Wood</x:v>
      </x:c>
      <x:c r="G50" s="36" t="n">
        <x:f>(D50+E50)/2</x:f>
        <x:v>1.5</x:v>
      </x:c>
      <x:c r="H50" s="36" t="n">
        <x:f>IF(B50="coins",1,IFERROR(XLOOKUP(B50,'Items Master'!$A:$A,'Items Master'!$J:$J,0),0))</x:f>
        <x:v>8</x:v>
      </x:c>
      <x:c r="I50" s="36" t="n">
        <x:f>C50/100*G50*H50</x:f>
        <x:v>1.7999999999999998</x:v>
      </x:c>
    </x:row>
    <x:row r="51" ht="15" hidden="0" customHeight="1">
      <x:c r="A51" s="26" t="str">
        <x:v>oak_boar</x:v>
      </x:c>
      <x:c r="B51" s="26" t="str">
        <x:v>boar_tusk_spear_tip</x:v>
      </x:c>
      <x:c r="C51" s="36" t="n">
        <x:v>2</x:v>
      </x:c>
      <x:c r="D51" s="26" t="n">
        <x:v>1</x:v>
      </x:c>
      <x:c r="E51" s="26" t="n">
        <x:v>1</x:v>
      </x:c>
      <x:c r="F51" s="26" t="str">
        <x:v>Unique Craft</x:v>
      </x:c>
      <x:c r="G51" s="36" t="n">
        <x:f>(D51+E51)/2</x:f>
        <x:v>1</x:v>
      </x:c>
      <x:c r="H51" s="36" t="n">
        <x:f>IF(B51="coins",1,IFERROR(XLOOKUP(B51,'Items Master'!$A:$A,'Items Master'!$J:$J,0),0))</x:f>
        <x:v>120</x:v>
      </x:c>
      <x:c r="I51" s="36" t="n">
        <x:f>C51/100*G51*H51</x:f>
        <x:v>2.4</x:v>
      </x:c>
    </x:row>
    <x:row r="52" ht="15" hidden="0" customHeight="1">
      <x:c r="A52" s="26" t="str">
        <x:v>cave_bat</x:v>
      </x:c>
      <x:c r="B52" s="26" t="str">
        <x:v>bat_wing</x:v>
      </x:c>
      <x:c r="C52" s="36" t="n">
        <x:v>45</x:v>
      </x:c>
      <x:c r="D52" s="26" t="n">
        <x:v>1</x:v>
      </x:c>
      <x:c r="E52" s="26" t="n">
        <x:v>2</x:v>
      </x:c>
      <x:c r="F52" s="26" t="str">
        <x:v>Crafting</x:v>
      </x:c>
      <x:c r="G52" s="36" t="n">
        <x:f>(D52+E52)/2</x:f>
        <x:v>1.5</x:v>
      </x:c>
      <x:c r="H52" s="36" t="n">
        <x:f>IF(B52="coins",1,IFERROR(XLOOKUP(B52,'Items Master'!$A:$A,'Items Master'!$J:$J,0),0))</x:f>
        <x:v>14</x:v>
      </x:c>
      <x:c r="I52" s="36" t="n">
        <x:f>C52/100*G52*H52</x:f>
        <x:v>9.450000000000001</x:v>
      </x:c>
    </x:row>
    <x:row r="53" ht="15" hidden="0" customHeight="1">
      <x:c r="A53" s="26" t="str">
        <x:v>cave_bat</x:v>
      </x:c>
      <x:c r="B53" s="26" t="str">
        <x:v>bones</x:v>
      </x:c>
      <x:c r="C53" s="36" t="n">
        <x:v>30</x:v>
      </x:c>
      <x:c r="D53" s="26" t="n">
        <x:v>1</x:v>
      </x:c>
      <x:c r="E53" s="26" t="n">
        <x:v>1</x:v>
      </x:c>
      <x:c r="F53" s="26" t="str">
        <x:v>Crafting</x:v>
      </x:c>
      <x:c r="G53" s="36" t="n">
        <x:f>(D53+E53)/2</x:f>
        <x:v>1</x:v>
      </x:c>
      <x:c r="H53" s="36" t="n">
        <x:f>IF(B53="coins",1,IFERROR(XLOOKUP(B53,'Items Master'!$A:$A,'Items Master'!$J:$J,0),0))</x:f>
        <x:v>5</x:v>
      </x:c>
      <x:c r="I53" s="36" t="n">
        <x:f>C53/100*G53*H53</x:f>
        <x:v>1.5</x:v>
      </x:c>
    </x:row>
    <x:row r="54" ht="15" hidden="0" customHeight="1">
      <x:c r="A54" s="26" t="str">
        <x:v>cave_bat</x:v>
      </x:c>
      <x:c r="B54" s="26" t="str">
        <x:v>iron_ore</x:v>
      </x:c>
      <x:c r="C54" s="36" t="n">
        <x:v>15</x:v>
      </x:c>
      <x:c r="D54" s="26" t="n">
        <x:v>1</x:v>
      </x:c>
      <x:c r="E54" s="26" t="n">
        <x:v>2</x:v>
      </x:c>
      <x:c r="F54" s="26" t="str">
        <x:v>Smithing</x:v>
      </x:c>
      <x:c r="G54" s="36" t="n">
        <x:f>(D54+E54)/2</x:f>
        <x:v>1.5</x:v>
      </x:c>
      <x:c r="H54" s="36" t="n">
        <x:f>IF(B54="coins",1,IFERROR(XLOOKUP(B54,'Items Master'!$A:$A,'Items Master'!$J:$J,0),0))</x:f>
        <x:v>12</x:v>
      </x:c>
      <x:c r="I54" s="36" t="n">
        <x:f>C54/100*G54*H54</x:f>
        <x:v>2.6999999999999997</x:v>
      </x:c>
    </x:row>
    <x:row r="55" ht="15" hidden="0" customHeight="1">
      <x:c r="A55" s="26" t="str">
        <x:v>cave_bat</x:v>
      </x:c>
      <x:c r="B55" s="26" t="str">
        <x:v>coins</x:v>
      </x:c>
      <x:c r="C55" s="36" t="n">
        <x:v>25</x:v>
      </x:c>
      <x:c r="D55" s="26" t="n">
        <x:v>10</x:v>
      </x:c>
      <x:c r="E55" s="26" t="n">
        <x:v>25</x:v>
      </x:c>
      <x:c r="F55" s="26" t="str">
        <x:v>GP</x:v>
      </x:c>
      <x:c r="G55" s="36" t="n">
        <x:f>(D55+E55)/2</x:f>
        <x:v>17.5</x:v>
      </x:c>
      <x:c r="H55" s="36" t="n">
        <x:f>IF(B55="coins",1,IFERROR(XLOOKUP(B55,'Items Master'!$A:$A,'Items Master'!$J:$J,0),0))</x:f>
        <x:v>1</x:v>
      </x:c>
      <x:c r="I55" s="36" t="n">
        <x:f>C55/100*G55*H55</x:f>
        <x:v>4.375</x:v>
      </x:c>
    </x:row>
    <x:row r="56" ht="15" hidden="0" customHeight="1">
      <x:c r="A56" s="26" t="str">
        <x:v>cave_bat</x:v>
      </x:c>
      <x:c r="B56" s="26" t="str">
        <x:v>echo_fang</x:v>
      </x:c>
      <x:c r="C56" s="36" t="n">
        <x:v>1.5</x:v>
      </x:c>
      <x:c r="D56" s="26" t="n">
        <x:v>1</x:v>
      </x:c>
      <x:c r="E56" s="26" t="n">
        <x:v>1</x:v>
      </x:c>
      <x:c r="F56" s="26" t="str">
        <x:v>Unique</x:v>
      </x:c>
      <x:c r="G56" s="36" t="n">
        <x:f>(D56+E56)/2</x:f>
        <x:v>1</x:v>
      </x:c>
      <x:c r="H56" s="36" t="n">
        <x:f>IF(B56="coins",1,IFERROR(XLOOKUP(B56,'Items Master'!$A:$A,'Items Master'!$J:$J,0),0))</x:f>
        <x:v>3</x:v>
      </x:c>
      <x:c r="I56" s="36" t="n">
        <x:f>C56/100*G56*H56</x:f>
        <x:v>0.045</x:v>
      </x:c>
    </x:row>
    <x:row r="57" ht="15" hidden="0" customHeight="1">
      <x:c r="A57" s="26" t="str">
        <x:v>iron_rock_crab</x:v>
      </x:c>
      <x:c r="B57" s="26" t="str">
        <x:v>iron_ore</x:v>
      </x:c>
      <x:c r="C57" s="36" t="n">
        <x:v>45</x:v>
      </x:c>
      <x:c r="D57" s="26" t="n">
        <x:v>1</x:v>
      </x:c>
      <x:c r="E57" s="26" t="n">
        <x:v>3</x:v>
      </x:c>
      <x:c r="F57" s="26" t="str">
        <x:v>Smithing</x:v>
      </x:c>
      <x:c r="G57" s="36" t="n">
        <x:f>(D57+E57)/2</x:f>
        <x:v>2</x:v>
      </x:c>
      <x:c r="H57" s="36" t="n">
        <x:f>IF(B57="coins",1,IFERROR(XLOOKUP(B57,'Items Master'!$A:$A,'Items Master'!$J:$J,0),0))</x:f>
        <x:v>12</x:v>
      </x:c>
      <x:c r="I57" s="36" t="n">
        <x:f>C57/100*G57*H57</x:f>
        <x:v>10.8</x:v>
      </x:c>
    </x:row>
    <x:row r="58" ht="15" hidden="0" customHeight="1">
      <x:c r="A58" s="26" t="str">
        <x:v>iron_rock_crab</x:v>
      </x:c>
      <x:c r="B58" s="26" t="str">
        <x:v>stone_chunk</x:v>
      </x:c>
      <x:c r="C58" s="36" t="n">
        <x:v>35</x:v>
      </x:c>
      <x:c r="D58" s="26" t="n">
        <x:v>1</x:v>
      </x:c>
      <x:c r="E58" s="26" t="n">
        <x:v>3</x:v>
      </x:c>
      <x:c r="F58" s="26" t="str">
        <x:v>Crafting</x:v>
      </x:c>
      <x:c r="G58" s="36" t="n">
        <x:f>(D58+E58)/2</x:f>
        <x:v>2</x:v>
      </x:c>
      <x:c r="H58" s="36" t="n">
        <x:f>IF(B58="coins",1,IFERROR(XLOOKUP(B58,'Items Master'!$A:$A,'Items Master'!$J:$J,0),0))</x:f>
        <x:v>5</x:v>
      </x:c>
      <x:c r="I58" s="36" t="n">
        <x:f>C58/100*G58*H58</x:f>
        <x:v>3.5</x:v>
      </x:c>
    </x:row>
    <x:row r="59" ht="15" hidden="0" customHeight="1">
      <x:c r="A59" s="26" t="str">
        <x:v>iron_rock_crab</x:v>
      </x:c>
      <x:c r="B59" s="26" t="str">
        <x:v>crab_meat</x:v>
      </x:c>
      <x:c r="C59" s="36" t="n">
        <x:v>25</x:v>
      </x:c>
      <x:c r="D59" s="26" t="n">
        <x:v>1</x:v>
      </x:c>
      <x:c r="E59" s="26" t="n">
        <x:v>2</x:v>
      </x:c>
      <x:c r="F59" s="26" t="str">
        <x:v>Cooking</x:v>
      </x:c>
      <x:c r="G59" s="36" t="n">
        <x:f>(D59+E59)/2</x:f>
        <x:v>1.5</x:v>
      </x:c>
      <x:c r="H59" s="36" t="n">
        <x:f>IF(B59="coins",1,IFERROR(XLOOKUP(B59,'Items Master'!$A:$A,'Items Master'!$J:$J,0),0))</x:f>
        <x:v>18</x:v>
      </x:c>
      <x:c r="I59" s="36" t="n">
        <x:f>C59/100*G59*H59</x:f>
        <x:v>6.75</x:v>
      </x:c>
    </x:row>
    <x:row r="60" ht="15" hidden="0" customHeight="1">
      <x:c r="A60" s="26" t="str">
        <x:v>iron_rock_crab</x:v>
      </x:c>
      <x:c r="B60" s="26" t="str">
        <x:v>coal</x:v>
      </x:c>
      <x:c r="C60" s="36" t="n">
        <x:v>8</x:v>
      </x:c>
      <x:c r="D60" s="26" t="n">
        <x:v>1</x:v>
      </x:c>
      <x:c r="E60" s="26" t="n">
        <x:v>1</x:v>
      </x:c>
      <x:c r="F60" s="26" t="str">
        <x:v>Smithing</x:v>
      </x:c>
      <x:c r="G60" s="36" t="n">
        <x:f>(D60+E60)/2</x:f>
        <x:v>1</x:v>
      </x:c>
      <x:c r="H60" s="36" t="n">
        <x:f>IF(B60="coins",1,IFERROR(XLOOKUP(B60,'Items Master'!$A:$A,'Items Master'!$J:$J,0),0))</x:f>
        <x:v>25</x:v>
      </x:c>
      <x:c r="I60" s="36" t="n">
        <x:f>C60/100*G60*H60</x:f>
        <x:v>2</x:v>
      </x:c>
    </x:row>
    <x:row r="61" ht="15" hidden="0" customHeight="1">
      <x:c r="A61" s="26" t="str">
        <x:v>iron_rock_crab</x:v>
      </x:c>
      <x:c r="B61" s="26" t="str">
        <x:v>iron_crab_shell</x:v>
      </x:c>
      <x:c r="C61" s="36" t="n">
        <x:v>1</x:v>
      </x:c>
      <x:c r="D61" s="26" t="n">
        <x:v>1</x:v>
      </x:c>
      <x:c r="E61" s="26" t="n">
        <x:v>1</x:v>
      </x:c>
      <x:c r="F61" s="26" t="str">
        <x:v>Unique</x:v>
      </x:c>
      <x:c r="G61" s="36" t="n">
        <x:f>(D61+E61)/2</x:f>
        <x:v>1</x:v>
      </x:c>
      <x:c r="H61" s="36" t="n">
        <x:f>IF(B61="coins",1,IFERROR(XLOOKUP(B61,'Items Master'!$A:$A,'Items Master'!$J:$J,0),0))</x:f>
        <x:v>2</x:v>
      </x:c>
      <x:c r="I61" s="36" t="n">
        <x:f>C61/100*G61*H61</x:f>
        <x:v>0.02</x:v>
      </x:c>
    </x:row>
    <x:row r="62" ht="15" hidden="0" customHeight="1">
      <x:c r="A62" s="26" t="str">
        <x:v>moss_wolf</x:v>
      </x:c>
      <x:c r="B62" s="26" t="str">
        <x:v>wolf_meat</x:v>
      </x:c>
      <x:c r="C62" s="36" t="n">
        <x:v>40</x:v>
      </x:c>
      <x:c r="D62" s="26" t="n">
        <x:v>1</x:v>
      </x:c>
      <x:c r="E62" s="26" t="n">
        <x:v>2</x:v>
      </x:c>
      <x:c r="F62" s="26" t="str">
        <x:v>Cooking</x:v>
      </x:c>
      <x:c r="G62" s="36" t="n">
        <x:f>(D62+E62)/2</x:f>
        <x:v>1.5</x:v>
      </x:c>
      <x:c r="H62" s="36" t="n">
        <x:f>IF(B62="coins",1,IFERROR(XLOOKUP(B62,'Items Master'!$A:$A,'Items Master'!$J:$J,0),0))</x:f>
        <x:v>16</x:v>
      </x:c>
      <x:c r="I62" s="36" t="n">
        <x:f>C62/100*G62*H62</x:f>
        <x:v>9.600000000000001</x:v>
      </x:c>
    </x:row>
    <x:row r="63" ht="15" hidden="0" customHeight="1">
      <x:c r="A63" s="26" t="str">
        <x:v>moss_wolf</x:v>
      </x:c>
      <x:c r="B63" s="26" t="str">
        <x:v>wolf_hide</x:v>
      </x:c>
      <x:c r="C63" s="36" t="n">
        <x:v>40</x:v>
      </x:c>
      <x:c r="D63" s="26" t="n">
        <x:v>1</x:v>
      </x:c>
      <x:c r="E63" s="26" t="n">
        <x:v>2</x:v>
      </x:c>
      <x:c r="F63" s="26" t="str">
        <x:v>Crafting</x:v>
      </x:c>
      <x:c r="G63" s="36" t="n">
        <x:f>(D63+E63)/2</x:f>
        <x:v>1.5</x:v>
      </x:c>
      <x:c r="H63" s="36" t="n">
        <x:f>IF(B63="coins",1,IFERROR(XLOOKUP(B63,'Items Master'!$A:$A,'Items Master'!$J:$J,0),0))</x:f>
        <x:v>35</x:v>
      </x:c>
      <x:c r="I63" s="36" t="n">
        <x:f>C63/100*G63*H63</x:f>
        <x:v>21.000000000000004</x:v>
      </x:c>
    </x:row>
    <x:row r="64" ht="15" hidden="0" customHeight="1">
      <x:c r="A64" s="26" t="str">
        <x:v>moss_wolf</x:v>
      </x:c>
      <x:c r="B64" s="26" t="str">
        <x:v>bones</x:v>
      </x:c>
      <x:c r="C64" s="36" t="n">
        <x:v>30</x:v>
      </x:c>
      <x:c r="D64" s="26" t="n">
        <x:v>1</x:v>
      </x:c>
      <x:c r="E64" s="26" t="n">
        <x:v>2</x:v>
      </x:c>
      <x:c r="F64" s="26" t="str">
        <x:v>Crafting</x:v>
      </x:c>
      <x:c r="G64" s="36" t="n">
        <x:f>(D64+E64)/2</x:f>
        <x:v>1.5</x:v>
      </x:c>
      <x:c r="H64" s="36" t="n">
        <x:f>IF(B64="coins",1,IFERROR(XLOOKUP(B64,'Items Master'!$A:$A,'Items Master'!$J:$J,0),0))</x:f>
        <x:v>5</x:v>
      </x:c>
      <x:c r="I64" s="36" t="n">
        <x:f>C64/100*G64*H64</x:f>
        <x:v>2.25</x:v>
      </x:c>
    </x:row>
    <x:row r="65" ht="15" hidden="0" customHeight="1">
      <x:c r="A65" s="26" t="str">
        <x:v>moss_wolf</x:v>
      </x:c>
      <x:c r="B65" s="26" t="str">
        <x:v>oak_logs</x:v>
      </x:c>
      <x:c r="C65" s="36" t="n">
        <x:v>12</x:v>
      </x:c>
      <x:c r="D65" s="26" t="n">
        <x:v>1</x:v>
      </x:c>
      <x:c r="E65" s="26" t="n">
        <x:v>2</x:v>
      </x:c>
      <x:c r="F65" s="26" t="str">
        <x:v>Wood</x:v>
      </x:c>
      <x:c r="G65" s="36" t="n">
        <x:f>(D65+E65)/2</x:f>
        <x:v>1.5</x:v>
      </x:c>
      <x:c r="H65" s="36" t="n">
        <x:f>IF(B65="coins",1,IFERROR(XLOOKUP(B65,'Items Master'!$A:$A,'Items Master'!$J:$J,0),0))</x:f>
        <x:v>8</x:v>
      </x:c>
      <x:c r="I65" s="36" t="n">
        <x:f>C65/100*G65*H65</x:f>
        <x:v>1.44</x:v>
      </x:c>
    </x:row>
    <x:row r="66" ht="15" hidden="0" customHeight="1">
      <x:c r="A66" s="26" t="str">
        <x:v>moss_wolf</x:v>
      </x:c>
      <x:c r="B66" s="26" t="str">
        <x:v>moss_wolf_pelt</x:v>
      </x:c>
      <x:c r="C66" s="36" t="n">
        <x:v>2</x:v>
      </x:c>
      <x:c r="D66" s="26" t="n">
        <x:v>1</x:v>
      </x:c>
      <x:c r="E66" s="26" t="n">
        <x:v>1</x:v>
      </x:c>
      <x:c r="F66" s="26" t="str">
        <x:v>Unique Craft</x:v>
      </x:c>
      <x:c r="G66" s="36" t="n">
        <x:f>(D66+E66)/2</x:f>
        <x:v>1</x:v>
      </x:c>
      <x:c r="H66" s="36" t="n">
        <x:f>IF(B66="coins",1,IFERROR(XLOOKUP(B66,'Items Master'!$A:$A,'Items Master'!$J:$J,0),0))</x:f>
        <x:v>4</x:v>
      </x:c>
      <x:c r="I66" s="36" t="n">
        <x:f>C66/100*G66*H66</x:f>
        <x:v>0.08</x:v>
      </x:c>
    </x:row>
    <x:row r="67" ht="15" hidden="0" customHeight="1">
      <x:c r="A67" s="26" t="str">
        <x:v>rival_goblin_scout</x:v>
      </x:c>
      <x:c r="B67" s="26" t="str">
        <x:v>coins</x:v>
      </x:c>
      <x:c r="C67" s="36" t="n">
        <x:v>55</x:v>
      </x:c>
      <x:c r="D67" s="26" t="n">
        <x:v>20</x:v>
      </x:c>
      <x:c r="E67" s="26" t="n">
        <x:v>60</x:v>
      </x:c>
      <x:c r="F67" s="26" t="str">
        <x:v>GP</x:v>
      </x:c>
      <x:c r="G67" s="36" t="n">
        <x:f>(D67+E67)/2</x:f>
        <x:v>40</x:v>
      </x:c>
      <x:c r="H67" s="36" t="n">
        <x:f>IF(B67="coins",1,IFERROR(XLOOKUP(B67,'Items Master'!$A:$A,'Items Master'!$J:$J,0),0))</x:f>
        <x:v>1</x:v>
      </x:c>
      <x:c r="I67" s="36" t="n">
        <x:f>C67/100*G67*H67</x:f>
        <x:v>22</x:v>
      </x:c>
    </x:row>
    <x:row r="68" ht="15" hidden="0" customHeight="1">
      <x:c r="A68" s="26" t="str">
        <x:v>rival_goblin_scout</x:v>
      </x:c>
      <x:c r="B68" s="26" t="str">
        <x:v>iron_dagger</x:v>
      </x:c>
      <x:c r="C68" s="36" t="n">
        <x:v>12</x:v>
      </x:c>
      <x:c r="D68" s="26" t="n">
        <x:v>1</x:v>
      </x:c>
      <x:c r="E68" s="26" t="n">
        <x:v>1</x:v>
      </x:c>
      <x:c r="F68" s="26" t="str">
        <x:v>Weapon</x:v>
      </x:c>
      <x:c r="G68" s="36" t="n">
        <x:f>(D68+E68)/2</x:f>
        <x:v>1</x:v>
      </x:c>
      <x:c r="H68" s="36" t="n">
        <x:f>IF(B68="coins",1,IFERROR(XLOOKUP(B68,'Items Master'!$A:$A,'Items Master'!$J:$J,0),0))</x:f>
        <x:v>24</x:v>
      </x:c>
      <x:c r="I68" s="36" t="n">
        <x:f>C68/100*G68*H68</x:f>
        <x:v>2.88</x:v>
      </x:c>
    </x:row>
    <x:row r="69" ht="15" hidden="0" customHeight="1">
      <x:c r="A69" s="26" t="str">
        <x:v>rival_goblin_scout</x:v>
      </x:c>
      <x:c r="B69" s="26" t="str">
        <x:v>raw_pike</x:v>
      </x:c>
      <x:c r="C69" s="36" t="n">
        <x:v>15</x:v>
      </x:c>
      <x:c r="D69" s="26" t="n">
        <x:v>1</x:v>
      </x:c>
      <x:c r="E69" s="26" t="n">
        <x:v>1</x:v>
      </x:c>
      <x:c r="F69" s="26" t="str">
        <x:v>Food</x:v>
      </x:c>
      <x:c r="G69" s="36" t="n">
        <x:f>(D69+E69)/2</x:f>
        <x:v>1</x:v>
      </x:c>
      <x:c r="H69" s="36" t="n">
        <x:f>IF(B69="coins",1,IFERROR(XLOOKUP(B69,'Items Master'!$A:$A,'Items Master'!$J:$J,0),0))</x:f>
        <x:v>22</x:v>
      </x:c>
      <x:c r="I69" s="36" t="n">
        <x:f>C69/100*G69*H69</x:f>
        <x:v>3.3</x:v>
      </x:c>
    </x:row>
    <x:row r="70" ht="15" hidden="0" customHeight="1">
      <x:c r="A70" s="26" t="str">
        <x:v>rival_goblin_scout</x:v>
      </x:c>
      <x:c r="B70" s="26" t="str">
        <x:v>scout_map_scrap</x:v>
      </x:c>
      <x:c r="C70" s="36" t="n">
        <x:v>20</x:v>
      </x:c>
      <x:c r="D70" s="26" t="n">
        <x:v>1</x:v>
      </x:c>
      <x:c r="E70" s="26" t="n">
        <x:v>1</x:v>
      </x:c>
      <x:c r="F70" s="26" t="str">
        <x:v>Quest</x:v>
      </x:c>
      <x:c r="G70" s="36" t="n">
        <x:f>(D70+E70)/2</x:f>
        <x:v>1</x:v>
      </x:c>
      <x:c r="H70" s="36" t="n">
        <x:f>IF(B70="coins",1,IFERROR(XLOOKUP(B70,'Items Master'!$A:$A,'Items Master'!$J:$J,0),0))</x:f>
        <x:v>40</x:v>
      </x:c>
      <x:c r="I70" s="36" t="n">
        <x:f>C70/100*G70*H70</x:f>
        <x:v>8</x:v>
      </x:c>
    </x:row>
    <x:row r="71" ht="15" hidden="0" customHeight="1">
      <x:c r="A71" s="26" t="str">
        <x:v>rival_goblin_scout</x:v>
      </x:c>
      <x:c r="B71" s="26" t="str">
        <x:v>scout_hood</x:v>
      </x:c>
      <x:c r="C71" s="36" t="n">
        <x:v>2</x:v>
      </x:c>
      <x:c r="D71" s="26" t="n">
        <x:v>1</x:v>
      </x:c>
      <x:c r="E71" s="26" t="n">
        <x:v>1</x:v>
      </x:c>
      <x:c r="F71" s="26" t="str">
        <x:v>Unique</x:v>
      </x:c>
      <x:c r="G71" s="36" t="n">
        <x:f>(D71+E71)/2</x:f>
        <x:v>1</x:v>
      </x:c>
      <x:c r="H71" s="36" t="n">
        <x:f>IF(B71="coins",1,IFERROR(XLOOKUP(B71,'Items Master'!$A:$A,'Items Master'!$J:$J,0),0))</x:f>
        <x:v>4</x:v>
      </x:c>
      <x:c r="I71" s="36" t="n">
        <x:f>C71/100*G71*H71</x:f>
        <x:v>0.08</x:v>
      </x:c>
    </x:row>
    <x:row r="72" ht="15" hidden="0" customHeight="1">
      <x:c r="A72" s="26" t="str">
        <x:v>swamp_frog</x:v>
      </x:c>
      <x:c r="B72" s="26" t="str">
        <x:v>frog_legs</x:v>
      </x:c>
      <x:c r="C72" s="36" t="n">
        <x:v>50</x:v>
      </x:c>
      <x:c r="D72" s="26" t="n">
        <x:v>1</x:v>
      </x:c>
      <x:c r="E72" s="26" t="n">
        <x:v>2</x:v>
      </x:c>
      <x:c r="F72" s="26" t="str">
        <x:v>Cooking</x:v>
      </x:c>
      <x:c r="G72" s="36" t="n">
        <x:f>(D72+E72)/2</x:f>
        <x:v>1.5</x:v>
      </x:c>
      <x:c r="H72" s="36" t="n">
        <x:f>IF(B72="coins",1,IFERROR(XLOOKUP(B72,'Items Master'!$A:$A,'Items Master'!$J:$J,0),0))</x:f>
        <x:v>10</x:v>
      </x:c>
      <x:c r="I72" s="36" t="n">
        <x:f>C72/100*G72*H72</x:f>
        <x:v>7.5</x:v>
      </x:c>
    </x:row>
    <x:row r="73" ht="15" hidden="0" customHeight="1">
      <x:c r="A73" s="26" t="str">
        <x:v>swamp_frog</x:v>
      </x:c>
      <x:c r="B73" s="26" t="str">
        <x:v>slime_glob</x:v>
      </x:c>
      <x:c r="C73" s="36" t="n">
        <x:v>35</x:v>
      </x:c>
      <x:c r="D73" s="26" t="n">
        <x:v>1</x:v>
      </x:c>
      <x:c r="E73" s="26" t="n">
        <x:v>2</x:v>
      </x:c>
      <x:c r="F73" s="26" t="str">
        <x:v>Crafting</x:v>
      </x:c>
      <x:c r="G73" s="36" t="n">
        <x:f>(D73+E73)/2</x:f>
        <x:v>1.5</x:v>
      </x:c>
      <x:c r="H73" s="36" t="n">
        <x:f>IF(B73="coins",1,IFERROR(XLOOKUP(B73,'Items Master'!$A:$A,'Items Master'!$J:$J,0),0))</x:f>
        <x:v>20</x:v>
      </x:c>
      <x:c r="I73" s="36" t="n">
        <x:f>C73/100*G73*H73</x:f>
        <x:v>10.499999999999998</x:v>
      </x:c>
    </x:row>
    <x:row r="74" ht="15" hidden="0" customHeight="1">
      <x:c r="A74" s="26" t="str">
        <x:v>swamp_frog</x:v>
      </x:c>
      <x:c r="B74" s="26" t="str">
        <x:v>poison_gland</x:v>
      </x:c>
      <x:c r="C74" s="36" t="n">
        <x:v>20</x:v>
      </x:c>
      <x:c r="D74" s="26" t="n">
        <x:v>1</x:v>
      </x:c>
      <x:c r="E74" s="26" t="n">
        <x:v>1</x:v>
      </x:c>
      <x:c r="F74" s="26" t="str">
        <x:v>Poison</x:v>
      </x:c>
      <x:c r="G74" s="36" t="n">
        <x:f>(D74+E74)/2</x:f>
        <x:v>1</x:v>
      </x:c>
      <x:c r="H74" s="36" t="n">
        <x:f>IF(B74="coins",1,IFERROR(XLOOKUP(B74,'Items Master'!$A:$A,'Items Master'!$J:$J,0),0))</x:f>
        <x:v>35</x:v>
      </x:c>
      <x:c r="I74" s="36" t="n">
        <x:f>C74/100*G74*H74</x:f>
        <x:v>7</x:v>
      </x:c>
    </x:row>
    <x:row r="75" ht="15" hidden="0" customHeight="1">
      <x:c r="A75" s="26" t="str">
        <x:v>swamp_frog</x:v>
      </x:c>
      <x:c r="B75" s="26" t="str">
        <x:v>swamp_herb</x:v>
      </x:c>
      <x:c r="C75" s="36" t="n">
        <x:v>15</x:v>
      </x:c>
      <x:c r="D75" s="26" t="n">
        <x:v>1</x:v>
      </x:c>
      <x:c r="E75" s="26" t="n">
        <x:v>1</x:v>
      </x:c>
      <x:c r="F75" s="26" t="str">
        <x:v>Swamp</x:v>
      </x:c>
      <x:c r="G75" s="36" t="n">
        <x:f>(D75+E75)/2</x:f>
        <x:v>1</x:v>
      </x:c>
      <x:c r="H75" s="36" t="n">
        <x:f>IF(B75="coins",1,IFERROR(XLOOKUP(B75,'Items Master'!$A:$A,'Items Master'!$J:$J,0),0))</x:f>
        <x:v>45</x:v>
      </x:c>
      <x:c r="I75" s="36" t="n">
        <x:f>C75/100*G75*H75</x:f>
        <x:v>6.75</x:v>
      </x:c>
    </x:row>
    <x:row r="76" ht="15" hidden="0" customHeight="1">
      <x:c r="A76" s="26" t="str">
        <x:v>swamp_frog</x:v>
      </x:c>
      <x:c r="B76" s="26" t="str">
        <x:v>frog_crown</x:v>
      </x:c>
      <x:c r="C76" s="36" t="n">
        <x:v>0.5</x:v>
      </x:c>
      <x:c r="D76" s="26" t="n">
        <x:v>1</x:v>
      </x:c>
      <x:c r="E76" s="26" t="n">
        <x:v>1</x:v>
      </x:c>
      <x:c r="F76" s="26" t="str">
        <x:v>Cosmetic</x:v>
      </x:c>
      <x:c r="G76" s="36" t="n">
        <x:f>(D76+E76)/2</x:f>
        <x:v>1</x:v>
      </x:c>
      <x:c r="H76" s="36" t="n">
        <x:f>IF(B76="coins",1,IFERROR(XLOOKUP(B76,'Items Master'!$A:$A,'Items Master'!$J:$J,0),0))</x:f>
        <x:v>1</x:v>
      </x:c>
      <x:c r="I76" s="36" t="n">
        <x:f>C76/100*G76*H76</x:f>
        <x:v>0.005</x:v>
      </x:c>
    </x:row>
    <x:row r="77" ht="15" hidden="0" customHeight="1">
      <x:c r="A77" s="26" t="str">
        <x:v>bog_rat</x:v>
      </x:c>
      <x:c r="B77" s="26" t="str">
        <x:v>rat_meat</x:v>
      </x:c>
      <x:c r="C77" s="36" t="n">
        <x:v>30</x:v>
      </x:c>
      <x:c r="D77" s="26" t="n">
        <x:v>1</x:v>
      </x:c>
      <x:c r="E77" s="26" t="n">
        <x:v>1</x:v>
      </x:c>
      <x:c r="F77" s="26" t="str">
        <x:v>Cooking</x:v>
      </x:c>
      <x:c r="G77" s="36" t="n">
        <x:f>(D77+E77)/2</x:f>
        <x:v>1</x:v>
      </x:c>
      <x:c r="H77" s="36" t="n">
        <x:f>IF(B77="coins",1,IFERROR(XLOOKUP(B77,'Items Master'!$A:$A,'Items Master'!$J:$J,0),0))</x:f>
        <x:v>3</x:v>
      </x:c>
      <x:c r="I77" s="36" t="n">
        <x:f>C77/100*G77*H77</x:f>
        <x:v>0.8999999999999999</x:v>
      </x:c>
    </x:row>
    <x:row r="78" ht="15" hidden="0" customHeight="1">
      <x:c r="A78" s="26" t="str">
        <x:v>bog_rat</x:v>
      </x:c>
      <x:c r="B78" s="26" t="str">
        <x:v>diseased_hide</x:v>
      </x:c>
      <x:c r="C78" s="36" t="n">
        <x:v>35</x:v>
      </x:c>
      <x:c r="D78" s="26" t="n">
        <x:v>1</x:v>
      </x:c>
      <x:c r="E78" s="26" t="n">
        <x:v>2</x:v>
      </x:c>
      <x:c r="F78" s="26" t="str">
        <x:v>Crafting</x:v>
      </x:c>
      <x:c r="G78" s="36" t="n">
        <x:f>(D78+E78)/2</x:f>
        <x:v>1.5</x:v>
      </x:c>
      <x:c r="H78" s="36" t="n">
        <x:f>IF(B78="coins",1,IFERROR(XLOOKUP(B78,'Items Master'!$A:$A,'Items Master'!$J:$J,0),0))</x:f>
        <x:v>22</x:v>
      </x:c>
      <x:c r="I78" s="36" t="n">
        <x:f>C78/100*G78*H78</x:f>
        <x:v>11.549999999999997</x:v>
      </x:c>
    </x:row>
    <x:row r="79" ht="15" hidden="0" customHeight="1">
      <x:c r="A79" s="26" t="str">
        <x:v>bog_rat</x:v>
      </x:c>
      <x:c r="B79" s="26" t="str">
        <x:v>bones</x:v>
      </x:c>
      <x:c r="C79" s="36" t="n">
        <x:v>25</x:v>
      </x:c>
      <x:c r="D79" s="26" t="n">
        <x:v>1</x:v>
      </x:c>
      <x:c r="E79" s="26" t="n">
        <x:v>2</x:v>
      </x:c>
      <x:c r="F79" s="26" t="str">
        <x:v>Crafting</x:v>
      </x:c>
      <x:c r="G79" s="36" t="n">
        <x:f>(D79+E79)/2</x:f>
        <x:v>1.5</x:v>
      </x:c>
      <x:c r="H79" s="36" t="n">
        <x:f>IF(B79="coins",1,IFERROR(XLOOKUP(B79,'Items Master'!$A:$A,'Items Master'!$J:$J,0),0))</x:f>
        <x:v>5</x:v>
      </x:c>
      <x:c r="I79" s="36" t="n">
        <x:f>C79/100*G79*H79</x:f>
        <x:v>1.875</x:v>
      </x:c>
    </x:row>
    <x:row r="80" ht="15" hidden="0" customHeight="1">
      <x:c r="A80" s="26" t="str">
        <x:v>bog_rat</x:v>
      </x:c>
      <x:c r="B80" s="26" t="str">
        <x:v>deadwood_logs</x:v>
      </x:c>
      <x:c r="C80" s="36" t="n">
        <x:v>15</x:v>
      </x:c>
      <x:c r="D80" s="26" t="n">
        <x:v>1</x:v>
      </x:c>
      <x:c r="E80" s="26" t="n">
        <x:v>2</x:v>
      </x:c>
      <x:c r="F80" s="26" t="str">
        <x:v>Wood</x:v>
      </x:c>
      <x:c r="G80" s="36" t="n">
        <x:f>(D80+E80)/2</x:f>
        <x:v>1.5</x:v>
      </x:c>
      <x:c r="H80" s="36" t="n">
        <x:f>IF(B80="coins",1,IFERROR(XLOOKUP(B80,'Items Master'!$A:$A,'Items Master'!$J:$J,0),0))</x:f>
        <x:v>18</x:v>
      </x:c>
      <x:c r="I80" s="36" t="n">
        <x:f>C80/100*G80*H80</x:f>
        <x:v>4.05</x:v>
      </x:c>
    </x:row>
    <x:row r="81" ht="15" hidden="0" customHeight="1">
      <x:c r="A81" s="26" t="str">
        <x:v>bog_rat</x:v>
      </x:c>
      <x:c r="B81" s="26" t="str">
        <x:v>bog_rat_charm</x:v>
      </x:c>
      <x:c r="C81" s="36" t="n">
        <x:v>2</x:v>
      </x:c>
      <x:c r="D81" s="26" t="n">
        <x:v>1</x:v>
      </x:c>
      <x:c r="E81" s="26" t="n">
        <x:v>1</x:v>
      </x:c>
      <x:c r="F81" s="26" t="str">
        <x:v>Unique</x:v>
      </x:c>
      <x:c r="G81" s="36" t="n">
        <x:f>(D81+E81)/2</x:f>
        <x:v>1</x:v>
      </x:c>
      <x:c r="H81" s="36" t="n">
        <x:f>IF(B81="coins",1,IFERROR(XLOOKUP(B81,'Items Master'!$A:$A,'Items Master'!$J:$J,0),0))</x:f>
        <x:v>4</x:v>
      </x:c>
      <x:c r="I81" s="36" t="n">
        <x:f>C81/100*G81*H81</x:f>
        <x:v>0.08</x:v>
      </x:c>
    </x:row>
    <x:row r="82" ht="15" hidden="0" customHeight="1">
      <x:c r="A82" s="26" t="str">
        <x:v>fungal_goblin</x:v>
      </x:c>
      <x:c r="B82" s="26" t="str">
        <x:v>strange_mushroom</x:v>
      </x:c>
      <x:c r="C82" s="36" t="n">
        <x:v>45</x:v>
      </x:c>
      <x:c r="D82" s="26" t="n">
        <x:v>1</x:v>
      </x:c>
      <x:c r="E82" s="26" t="n">
        <x:v>3</x:v>
      </x:c>
      <x:c r="F82" s="26" t="str">
        <x:v>Cooking/Crafting</x:v>
      </x:c>
      <x:c r="G82" s="36" t="n">
        <x:f>(D82+E82)/2</x:f>
        <x:v>2</x:v>
      </x:c>
      <x:c r="H82" s="36" t="n">
        <x:f>IF(B82="coins",1,IFERROR(XLOOKUP(B82,'Items Master'!$A:$A,'Items Master'!$J:$J,0),0))</x:f>
        <x:v>35</x:v>
      </x:c>
      <x:c r="I82" s="36" t="n">
        <x:f>C82/100*G82*H82</x:f>
        <x:v>31.5</x:v>
      </x:c>
    </x:row>
    <x:row r="83" ht="15" hidden="0" customHeight="1">
      <x:c r="A83" s="26" t="str">
        <x:v>fungal_goblin</x:v>
      </x:c>
      <x:c r="B83" s="26" t="str">
        <x:v>fungal_logs</x:v>
      </x:c>
      <x:c r="C83" s="36" t="n">
        <x:v>20</x:v>
      </x:c>
      <x:c r="D83" s="26" t="n">
        <x:v>1</x:v>
      </x:c>
      <x:c r="E83" s="26" t="n">
        <x:v>2</x:v>
      </x:c>
      <x:c r="F83" s="26" t="str">
        <x:v>Wood</x:v>
      </x:c>
      <x:c r="G83" s="36" t="n">
        <x:f>(D83+E83)/2</x:f>
        <x:v>1.5</x:v>
      </x:c>
      <x:c r="H83" s="36" t="n">
        <x:f>IF(B83="coins",1,IFERROR(XLOOKUP(B83,'Items Master'!$A:$A,'Items Master'!$J:$J,0),0))</x:f>
        <x:v>35</x:v>
      </x:c>
      <x:c r="I83" s="36" t="n">
        <x:f>C83/100*G83*H83</x:f>
        <x:v>10.500000000000002</x:v>
      </x:c>
    </x:row>
    <x:row r="84" ht="15" hidden="0" customHeight="1">
      <x:c r="A84" s="26" t="str">
        <x:v>fungal_goblin</x:v>
      </x:c>
      <x:c r="B84" s="26" t="str">
        <x:v>coins</x:v>
      </x:c>
      <x:c r="C84" s="36" t="n">
        <x:v>35</x:v>
      </x:c>
      <x:c r="D84" s="26" t="n">
        <x:v>20</x:v>
      </x:c>
      <x:c r="E84" s="26" t="n">
        <x:v>50</x:v>
      </x:c>
      <x:c r="F84" s="26" t="str">
        <x:v>GP</x:v>
      </x:c>
      <x:c r="G84" s="36" t="n">
        <x:f>(D84+E84)/2</x:f>
        <x:v>35</x:v>
      </x:c>
      <x:c r="H84" s="36" t="n">
        <x:f>IF(B84="coins",1,IFERROR(XLOOKUP(B84,'Items Master'!$A:$A,'Items Master'!$J:$J,0),0))</x:f>
        <x:v>1</x:v>
      </x:c>
      <x:c r="I84" s="36" t="n">
        <x:f>C84/100*G84*H84</x:f>
        <x:v>12.25</x:v>
      </x:c>
    </x:row>
    <x:row r="85" ht="15" hidden="0" customHeight="1">
      <x:c r="A85" s="26" t="str">
        <x:v>fungal_goblin</x:v>
      </x:c>
      <x:c r="B85" s="26" t="str">
        <x:v>bone_needle</x:v>
      </x:c>
      <x:c r="C85" s="36" t="n">
        <x:v>12</x:v>
      </x:c>
      <x:c r="D85" s="26" t="n">
        <x:v>1</x:v>
      </x:c>
      <x:c r="E85" s="26" t="n">
        <x:v>1</x:v>
      </x:c>
      <x:c r="F85" s="26" t="str">
        <x:v>Crafting</x:v>
      </x:c>
      <x:c r="G85" s="36" t="n">
        <x:f>(D85+E85)/2</x:f>
        <x:v>1</x:v>
      </x:c>
      <x:c r="H85" s="36" t="n">
        <x:f>IF(B85="coins",1,IFERROR(XLOOKUP(B85,'Items Master'!$A:$A,'Items Master'!$J:$J,0),0))</x:f>
        <x:v>24</x:v>
      </x:c>
      <x:c r="I85" s="36" t="n">
        <x:f>C85/100*G85*H85</x:f>
        <x:v>2.88</x:v>
      </x:c>
    </x:row>
    <x:row r="86" ht="15" hidden="0" customHeight="1">
      <x:c r="A86" s="26" t="str">
        <x:v>fungal_goblin</x:v>
      </x:c>
      <x:c r="B86" s="26" t="str">
        <x:v>spore_mask</x:v>
      </x:c>
      <x:c r="C86" s="36" t="n">
        <x:v>2</x:v>
      </x:c>
      <x:c r="D86" s="26" t="n">
        <x:v>1</x:v>
      </x:c>
      <x:c r="E86" s="26" t="n">
        <x:v>1</x:v>
      </x:c>
      <x:c r="F86" s="26" t="str">
        <x:v>Unique</x:v>
      </x:c>
      <x:c r="G86" s="36" t="n">
        <x:f>(D86+E86)/2</x:f>
        <x:v>1</x:v>
      </x:c>
      <x:c r="H86" s="36" t="n">
        <x:f>IF(B86="coins",1,IFERROR(XLOOKUP(B86,'Items Master'!$A:$A,'Items Master'!$J:$J,0),0))</x:f>
        <x:v>4</x:v>
      </x:c>
      <x:c r="I86" s="36" t="n">
        <x:f>C86/100*G86*H86</x:f>
        <x:v>0.08</x:v>
      </x:c>
    </x:row>
    <x:row r="87" ht="15" hidden="0" customHeight="1">
      <x:c r="A87" s="26" t="str">
        <x:v>cave_goblin_miner</x:v>
      </x:c>
      <x:c r="B87" s="26" t="str">
        <x:v>iron_ore</x:v>
      </x:c>
      <x:c r="C87" s="36" t="n">
        <x:v>30</x:v>
      </x:c>
      <x:c r="D87" s="26" t="n">
        <x:v>1</x:v>
      </x:c>
      <x:c r="E87" s="26" t="n">
        <x:v>3</x:v>
      </x:c>
      <x:c r="F87" s="26" t="str">
        <x:v>Smithing</x:v>
      </x:c>
      <x:c r="G87" s="36" t="n">
        <x:f>(D87+E87)/2</x:f>
        <x:v>2</x:v>
      </x:c>
      <x:c r="H87" s="36" t="n">
        <x:f>IF(B87="coins",1,IFERROR(XLOOKUP(B87,'Items Master'!$A:$A,'Items Master'!$J:$J,0),0))</x:f>
        <x:v>12</x:v>
      </x:c>
      <x:c r="I87" s="36" t="n">
        <x:f>C87/100*G87*H87</x:f>
        <x:v>7.199999999999999</x:v>
      </x:c>
    </x:row>
    <x:row r="88" ht="15" hidden="0" customHeight="1">
      <x:c r="A88" s="26" t="str">
        <x:v>cave_goblin_miner</x:v>
      </x:c>
      <x:c r="B88" s="26" t="str">
        <x:v>coal</x:v>
      </x:c>
      <x:c r="C88" s="36" t="n">
        <x:v>20</x:v>
      </x:c>
      <x:c r="D88" s="26" t="n">
        <x:v>1</x:v>
      </x:c>
      <x:c r="E88" s="26" t="n">
        <x:v>2</x:v>
      </x:c>
      <x:c r="F88" s="26" t="str">
        <x:v>Smithing</x:v>
      </x:c>
      <x:c r="G88" s="36" t="n">
        <x:f>(D88+E88)/2</x:f>
        <x:v>1.5</x:v>
      </x:c>
      <x:c r="H88" s="36" t="n">
        <x:f>IF(B88="coins",1,IFERROR(XLOOKUP(B88,'Items Master'!$A:$A,'Items Master'!$J:$J,0),0))</x:f>
        <x:v>25</x:v>
      </x:c>
      <x:c r="I88" s="36" t="n">
        <x:f>C88/100*G88*H88</x:f>
        <x:v>7.500000000000001</x:v>
      </x:c>
    </x:row>
    <x:row r="89" ht="15" hidden="0" customHeight="1">
      <x:c r="A89" s="26" t="str">
        <x:v>cave_goblin_miner</x:v>
      </x:c>
      <x:c r="B89" s="26" t="str">
        <x:v>pickaxe_head</x:v>
      </x:c>
      <x:c r="C89" s="36" t="n">
        <x:v>10</x:v>
      </x:c>
      <x:c r="D89" s="26" t="n">
        <x:v>1</x:v>
      </x:c>
      <x:c r="E89" s="26" t="n">
        <x:v>1</x:v>
      </x:c>
      <x:c r="F89" s="26" t="str">
        <x:v>Tool Craft</x:v>
      </x:c>
      <x:c r="G89" s="36" t="n">
        <x:f>(D89+E89)/2</x:f>
        <x:v>1</x:v>
      </x:c>
      <x:c r="H89" s="36" t="n">
        <x:f>IF(B89="coins",1,IFERROR(XLOOKUP(B89,'Items Master'!$A:$A,'Items Master'!$J:$J,0),0))</x:f>
        <x:v>55</x:v>
      </x:c>
      <x:c r="I89" s="36" t="n">
        <x:f>C89/100*G89*H89</x:f>
        <x:v>5.5</x:v>
      </x:c>
    </x:row>
    <x:row r="90" ht="15" hidden="0" customHeight="1">
      <x:c r="A90" s="26" t="str">
        <x:v>cave_goblin_miner</x:v>
      </x:c>
      <x:c r="B90" s="26" t="str">
        <x:v>coins</x:v>
      </x:c>
      <x:c r="C90" s="36" t="n">
        <x:v>50</x:v>
      </x:c>
      <x:c r="D90" s="26" t="n">
        <x:v>30</x:v>
      </x:c>
      <x:c r="E90" s="26" t="n">
        <x:v>80</x:v>
      </x:c>
      <x:c r="F90" s="26" t="str">
        <x:v>GP</x:v>
      </x:c>
      <x:c r="G90" s="36" t="n">
        <x:f>(D90+E90)/2</x:f>
        <x:v>55</x:v>
      </x:c>
      <x:c r="H90" s="36" t="n">
        <x:f>IF(B90="coins",1,IFERROR(XLOOKUP(B90,'Items Master'!$A:$A,'Items Master'!$J:$J,0),0))</x:f>
        <x:v>1</x:v>
      </x:c>
      <x:c r="I90" s="36" t="n">
        <x:f>C90/100*G90*H90</x:f>
        <x:v>27.5</x:v>
      </x:c>
    </x:row>
    <x:row r="91" ht="15" hidden="0" customHeight="1">
      <x:c r="A91" s="26" t="str">
        <x:v>cave_goblin_miner</x:v>
      </x:c>
      <x:c r="B91" s="26" t="str">
        <x:v>miners_belt</x:v>
      </x:c>
      <x:c r="C91" s="36" t="n">
        <x:v>2</x:v>
      </x:c>
      <x:c r="D91" s="26" t="n">
        <x:v>1</x:v>
      </x:c>
      <x:c r="E91" s="26" t="n">
        <x:v>1</x:v>
      </x:c>
      <x:c r="F91" s="26" t="str">
        <x:v>Unique</x:v>
      </x:c>
      <x:c r="G91" s="36" t="n">
        <x:f>(D91+E91)/2</x:f>
        <x:v>1</x:v>
      </x:c>
      <x:c r="H91" s="36" t="n">
        <x:f>IF(B91="coins",1,IFERROR(XLOOKUP(B91,'Items Master'!$A:$A,'Items Master'!$J:$J,0),0))</x:f>
        <x:v>4</x:v>
      </x:c>
      <x:c r="I91" s="36" t="n">
        <x:f>C91/100*G91*H91</x:f>
        <x:v>0.08</x:v>
      </x:c>
    </x:row>
    <x:row r="92" ht="15" hidden="0" customHeight="1">
      <x:c r="A92" s="26" t="str">
        <x:v>bog_slime</x:v>
      </x:c>
      <x:c r="B92" s="26" t="str">
        <x:v>slime_glob</x:v>
      </x:c>
      <x:c r="C92" s="36" t="n">
        <x:v>60</x:v>
      </x:c>
      <x:c r="D92" s="26" t="n">
        <x:v>1</x:v>
      </x:c>
      <x:c r="E92" s="26" t="n">
        <x:v>3</x:v>
      </x:c>
      <x:c r="F92" s="26" t="str">
        <x:v>Crafting</x:v>
      </x:c>
      <x:c r="G92" s="36" t="n">
        <x:f>(D92+E92)/2</x:f>
        <x:v>2</x:v>
      </x:c>
      <x:c r="H92" s="36" t="n">
        <x:f>IF(B92="coins",1,IFERROR(XLOOKUP(B92,'Items Master'!$A:$A,'Items Master'!$J:$J,0),0))</x:f>
        <x:v>20</x:v>
      </x:c>
      <x:c r="I92" s="36" t="n">
        <x:f>C92/100*G92*H92</x:f>
        <x:v>24</x:v>
      </x:c>
    </x:row>
    <x:row r="93" ht="15" hidden="0" customHeight="1">
      <x:c r="A93" s="26" t="str">
        <x:v>bog_slime</x:v>
      </x:c>
      <x:c r="B93" s="26" t="str">
        <x:v>swamp_herb</x:v>
      </x:c>
      <x:c r="C93" s="36" t="n">
        <x:v>20</x:v>
      </x:c>
      <x:c r="D93" s="26" t="n">
        <x:v>1</x:v>
      </x:c>
      <x:c r="E93" s="26" t="n">
        <x:v>2</x:v>
      </x:c>
      <x:c r="F93" s="26" t="str">
        <x:v>Swamp</x:v>
      </x:c>
      <x:c r="G93" s="36" t="n">
        <x:f>(D93+E93)/2</x:f>
        <x:v>1.5</x:v>
      </x:c>
      <x:c r="H93" s="36" t="n">
        <x:f>IF(B93="coins",1,IFERROR(XLOOKUP(B93,'Items Master'!$A:$A,'Items Master'!$J:$J,0),0))</x:f>
        <x:v>45</x:v>
      </x:c>
      <x:c r="I93" s="36" t="n">
        <x:f>C93/100*G93*H93</x:f>
        <x:v>13.500000000000002</x:v>
      </x:c>
    </x:row>
    <x:row r="94" ht="15" hidden="0" customHeight="1">
      <x:c r="A94" s="26" t="str">
        <x:v>bog_slime</x:v>
      </x:c>
      <x:c r="B94" s="26" t="str">
        <x:v>raw_bog_eel</x:v>
      </x:c>
      <x:c r="C94" s="36" t="n">
        <x:v>10</x:v>
      </x:c>
      <x:c r="D94" s="26" t="n">
        <x:v>1</x:v>
      </x:c>
      <x:c r="E94" s="26" t="n">
        <x:v>1</x:v>
      </x:c>
      <x:c r="F94" s="26" t="str">
        <x:v>Cooking</x:v>
      </x:c>
      <x:c r="G94" s="36" t="n">
        <x:f>(D94+E94)/2</x:f>
        <x:v>1</x:v>
      </x:c>
      <x:c r="H94" s="36" t="n">
        <x:f>IF(B94="coins",1,IFERROR(XLOOKUP(B94,'Items Master'!$A:$A,'Items Master'!$J:$J,0),0))</x:f>
        <x:v>45</x:v>
      </x:c>
      <x:c r="I94" s="36" t="n">
        <x:f>C94/100*G94*H94</x:f>
        <x:v>4.5</x:v>
      </x:c>
    </x:row>
    <x:row r="95" ht="15" hidden="0" customHeight="1">
      <x:c r="A95" s="26" t="str">
        <x:v>bog_slime</x:v>
      </x:c>
      <x:c r="B95" s="26" t="str">
        <x:v>poison_gland</x:v>
      </x:c>
      <x:c r="C95" s="36" t="n">
        <x:v>15</x:v>
      </x:c>
      <x:c r="D95" s="26" t="n">
        <x:v>1</x:v>
      </x:c>
      <x:c r="E95" s="26" t="n">
        <x:v>2</x:v>
      </x:c>
      <x:c r="F95" s="26" t="str">
        <x:v>Poison</x:v>
      </x:c>
      <x:c r="G95" s="36" t="n">
        <x:f>(D95+E95)/2</x:f>
        <x:v>1.5</x:v>
      </x:c>
      <x:c r="H95" s="36" t="n">
        <x:f>IF(B95="coins",1,IFERROR(XLOOKUP(B95,'Items Master'!$A:$A,'Items Master'!$J:$J,0),0))</x:f>
        <x:v>35</x:v>
      </x:c>
      <x:c r="I95" s="36" t="n">
        <x:f>C95/100*G95*H95</x:f>
        <x:v>7.874999999999999</x:v>
      </x:c>
    </x:row>
    <x:row r="96" ht="15" hidden="0" customHeight="1">
      <x:c r="A96" s="26" t="str">
        <x:v>bog_slime</x:v>
      </x:c>
      <x:c r="B96" s="26" t="str">
        <x:v>slime_core</x:v>
      </x:c>
      <x:c r="C96" s="36" t="n">
        <x:v>1.5</x:v>
      </x:c>
      <x:c r="D96" s="26" t="n">
        <x:v>1</x:v>
      </x:c>
      <x:c r="E96" s="26" t="n">
        <x:v>1</x:v>
      </x:c>
      <x:c r="F96" s="26" t="str">
        <x:v>Unique</x:v>
      </x:c>
      <x:c r="G96" s="36" t="n">
        <x:f>(D96+E96)/2</x:f>
        <x:v>1</x:v>
      </x:c>
      <x:c r="H96" s="36" t="n">
        <x:f>IF(B96="coins",1,IFERROR(XLOOKUP(B96,'Items Master'!$A:$A,'Items Master'!$J:$J,0),0))</x:f>
        <x:v>250</x:v>
      </x:c>
      <x:c r="I96" s="36" t="n">
        <x:f>C96/100*G96*H96</x:f>
        <x:v>3.75</x:v>
      </x:c>
    </x:row>
    <x:row r="97" ht="15" hidden="0" customHeight="1">
      <x:c r="A97" s="26" t="str">
        <x:v>lake_snapper</x:v>
      </x:c>
      <x:c r="B97" s="26" t="str">
        <x:v>raw_pike</x:v>
      </x:c>
      <x:c r="C97" s="36" t="n">
        <x:v>35</x:v>
      </x:c>
      <x:c r="D97" s="26" t="n">
        <x:v>1</x:v>
      </x:c>
      <x:c r="E97" s="26" t="n">
        <x:v>2</x:v>
      </x:c>
      <x:c r="F97" s="26" t="str">
        <x:v>Food</x:v>
      </x:c>
      <x:c r="G97" s="36" t="n">
        <x:f>(D97+E97)/2</x:f>
        <x:v>1.5</x:v>
      </x:c>
      <x:c r="H97" s="36" t="n">
        <x:f>IF(B97="coins",1,IFERROR(XLOOKUP(B97,'Items Master'!$A:$A,'Items Master'!$J:$J,0),0))</x:f>
        <x:v>22</x:v>
      </x:c>
      <x:c r="I97" s="36" t="n">
        <x:f>C97/100*G97*H97</x:f>
        <x:v>11.549999999999997</x:v>
      </x:c>
    </x:row>
    <x:row r="98" ht="15" hidden="0" customHeight="1">
      <x:c r="A98" s="26" t="str">
        <x:v>lake_snapper</x:v>
      </x:c>
      <x:c r="B98" s="26" t="str">
        <x:v>raw_carp</x:v>
      </x:c>
      <x:c r="C98" s="36" t="n">
        <x:v>25</x:v>
      </x:c>
      <x:c r="D98" s="26" t="n">
        <x:v>1</x:v>
      </x:c>
      <x:c r="E98" s="26" t="n">
        <x:v>2</x:v>
      </x:c>
      <x:c r="F98" s="26" t="str">
        <x:v>Food</x:v>
      </x:c>
      <x:c r="G98" s="36" t="n">
        <x:f>(D98+E98)/2</x:f>
        <x:v>1.5</x:v>
      </x:c>
      <x:c r="H98" s="36" t="n">
        <x:f>IF(B98="coins",1,IFERROR(XLOOKUP(B98,'Items Master'!$A:$A,'Items Master'!$J:$J,0),0))</x:f>
        <x:v>50</x:v>
      </x:c>
      <x:c r="I98" s="36" t="n">
        <x:f>C98/100*G98*H98</x:f>
        <x:v>18.75</x:v>
      </x:c>
    </x:row>
    <x:row r="99" ht="15" hidden="0" customHeight="1">
      <x:c r="A99" s="26" t="str">
        <x:v>lake_snapper</x:v>
      </x:c>
      <x:c r="B99" s="26" t="str">
        <x:v>snapper_shell</x:v>
      </x:c>
      <x:c r="C99" s="36" t="n">
        <x:v>30</x:v>
      </x:c>
      <x:c r="D99" s="26" t="n">
        <x:v>1</x:v>
      </x:c>
      <x:c r="E99" s="26" t="n">
        <x:v>1</x:v>
      </x:c>
      <x:c r="F99" s="26" t="str">
        <x:v>Crafting</x:v>
      </x:c>
      <x:c r="G99" s="36" t="n">
        <x:f>(D99+E99)/2</x:f>
        <x:v>1</x:v>
      </x:c>
      <x:c r="H99" s="36" t="n">
        <x:f>IF(B99="coins",1,IFERROR(XLOOKUP(B99,'Items Master'!$A:$A,'Items Master'!$J:$J,0),0))</x:f>
        <x:v>50</x:v>
      </x:c>
      <x:c r="I99" s="36" t="n">
        <x:f>C99/100*G99*H99</x:f>
        <x:v>15</x:v>
      </x:c>
    </x:row>
    <x:row r="100" ht="15" hidden="0" customHeight="1">
      <x:c r="A100" s="26" t="str">
        <x:v>lake_snapper</x:v>
      </x:c>
      <x:c r="B100" s="26" t="str">
        <x:v>water_herb</x:v>
      </x:c>
      <x:c r="C100" s="36" t="n">
        <x:v>15</x:v>
      </x:c>
      <x:c r="D100" s="26" t="n">
        <x:v>1</x:v>
      </x:c>
      <x:c r="E100" s="26" t="n">
        <x:v>1</x:v>
      </x:c>
      <x:c r="F100" s="26" t="str">
        <x:v>Potions</x:v>
      </x:c>
      <x:c r="G100" s="36" t="n">
        <x:f>(D100+E100)/2</x:f>
        <x:v>1</x:v>
      </x:c>
      <x:c r="H100" s="36" t="n">
        <x:f>IF(B100="coins",1,IFERROR(XLOOKUP(B100,'Items Master'!$A:$A,'Items Master'!$J:$J,0),0))</x:f>
        <x:v>30</x:v>
      </x:c>
      <x:c r="I100" s="36" t="n">
        <x:f>C100/100*G100*H100</x:f>
        <x:v>4.5</x:v>
      </x:c>
    </x:row>
    <x:row r="101" ht="15" hidden="0" customHeight="1">
      <x:c r="A101" s="26" t="str">
        <x:v>lake_snapper</x:v>
      </x:c>
      <x:c r="B101" s="26" t="str">
        <x:v>snapper_tooth_necklace</x:v>
      </x:c>
      <x:c r="C101" s="36" t="n">
        <x:v>1</x:v>
      </x:c>
      <x:c r="D101" s="26" t="n">
        <x:v>1</x:v>
      </x:c>
      <x:c r="E101" s="26" t="n">
        <x:v>1</x:v>
      </x:c>
      <x:c r="F101" s="26" t="str">
        <x:v>Unique</x:v>
      </x:c>
      <x:c r="G101" s="36" t="n">
        <x:f>(D101+E101)/2</x:f>
        <x:v>1</x:v>
      </x:c>
      <x:c r="H101" s="36" t="n">
        <x:f>IF(B101="coins",1,IFERROR(XLOOKUP(B101,'Items Master'!$A:$A,'Items Master'!$J:$J,0),0))</x:f>
        <x:v>2</x:v>
      </x:c>
      <x:c r="I101" s="36" t="n">
        <x:f>C101/100*G101*H101</x:f>
        <x:v>0.02</x:v>
      </x:c>
    </x:row>
    <x:row r="102" ht="15" hidden="0" customHeight="1">
      <x:c r="A102" s="26" t="str">
        <x:v>rival_goblin_warrior</x:v>
      </x:c>
      <x:c r="B102" s="26" t="str">
        <x:v>coins</x:v>
      </x:c>
      <x:c r="C102" s="36" t="n">
        <x:v>55</x:v>
      </x:c>
      <x:c r="D102" s="26" t="n">
        <x:v>40</x:v>
      </x:c>
      <x:c r="E102" s="26" t="n">
        <x:v>120</x:v>
      </x:c>
      <x:c r="F102" s="26" t="str">
        <x:v>GP</x:v>
      </x:c>
      <x:c r="G102" s="36" t="n">
        <x:f>(D102+E102)/2</x:f>
        <x:v>80</x:v>
      </x:c>
      <x:c r="H102" s="36" t="n">
        <x:f>IF(B102="coins",1,IFERROR(XLOOKUP(B102,'Items Master'!$A:$A,'Items Master'!$J:$J,0),0))</x:f>
        <x:v>1</x:v>
      </x:c>
      <x:c r="I102" s="36" t="n">
        <x:f>C102/100*G102*H102</x:f>
        <x:v>44</x:v>
      </x:c>
    </x:row>
    <x:row r="103" ht="15" hidden="0" customHeight="1">
      <x:c r="A103" s="26" t="str">
        <x:v>rival_goblin_warrior</x:v>
      </x:c>
      <x:c r="B103" s="26" t="str">
        <x:v>iron_sword</x:v>
      </x:c>
      <x:c r="C103" s="36" t="n">
        <x:v>10</x:v>
      </x:c>
      <x:c r="D103" s="26" t="n">
        <x:v>1</x:v>
      </x:c>
      <x:c r="E103" s="26" t="n">
        <x:v>1</x:v>
      </x:c>
      <x:c r="F103" s="26" t="str">
        <x:v>Weapon</x:v>
      </x:c>
      <x:c r="G103" s="36" t="n">
        <x:f>(D103+E103)/2</x:f>
        <x:v>1</x:v>
      </x:c>
      <x:c r="H103" s="36" t="n">
        <x:f>IF(B103="coins",1,IFERROR(XLOOKUP(B103,'Items Master'!$A:$A,'Items Master'!$J:$J,0),0))</x:f>
        <x:v>125</x:v>
      </x:c>
      <x:c r="I103" s="36" t="n">
        <x:f>C103/100*G103*H103</x:f>
        <x:v>12.5</x:v>
      </x:c>
    </x:row>
    <x:row r="104" ht="15" hidden="0" customHeight="1">
      <x:c r="A104" s="26" t="str">
        <x:v>rival_goblin_warrior</x:v>
      </x:c>
      <x:c r="B104" s="26" t="str">
        <x:v>steel_arrows</x:v>
      </x:c>
      <x:c r="C104" s="36" t="n">
        <x:v>12</x:v>
      </x:c>
      <x:c r="D104" s="26" t="n">
        <x:v>10</x:v>
      </x:c>
      <x:c r="E104" s="26" t="n">
        <x:v>25</x:v>
      </x:c>
      <x:c r="F104" s="26" t="str">
        <x:v>Ammo</x:v>
      </x:c>
      <x:c r="G104" s="36" t="n">
        <x:f>(D104+E104)/2</x:f>
        <x:v>17.5</x:v>
      </x:c>
      <x:c r="H104" s="36" t="n">
        <x:f>IF(B104="coins",1,IFERROR(XLOOKUP(B104,'Items Master'!$A:$A,'Items Master'!$J:$J,0),0))</x:f>
        <x:v>10</x:v>
      </x:c>
      <x:c r="I104" s="36" t="n">
        <x:f>C104/100*G104*H104</x:f>
        <x:v>21</x:v>
      </x:c>
    </x:row>
    <x:row r="105" ht="15" hidden="0" customHeight="1">
      <x:c r="A105" s="26" t="str">
        <x:v>rival_goblin_warrior</x:v>
      </x:c>
      <x:c r="B105" s="26" t="str">
        <x:v>grilled_pike</x:v>
      </x:c>
      <x:c r="C105" s="36" t="n">
        <x:v>20</x:v>
      </x:c>
      <x:c r="D105" s="26" t="n">
        <x:v>1</x:v>
      </x:c>
      <x:c r="E105" s="26" t="n">
        <x:v>2</x:v>
      </x:c>
      <x:c r="F105" s="26" t="str">
        <x:v>Food</x:v>
      </x:c>
      <x:c r="G105" s="36" t="n">
        <x:f>(D105+E105)/2</x:f>
        <x:v>1.5</x:v>
      </x:c>
      <x:c r="H105" s="36" t="n">
        <x:f>IF(B105="coins",1,IFERROR(XLOOKUP(B105,'Items Master'!$A:$A,'Items Master'!$J:$J,0),0))</x:f>
        <x:v>35</x:v>
      </x:c>
      <x:c r="I105" s="36" t="n">
        <x:f>C105/100*G105*H105</x:f>
        <x:v>10.500000000000002</x:v>
      </x:c>
    </x:row>
    <x:row r="106" ht="15" hidden="0" customHeight="1">
      <x:c r="A106" s="26" t="str">
        <x:v>rival_goblin_warrior</x:v>
      </x:c>
      <x:c r="B106" s="26" t="str">
        <x:v>rival_blade_fragment</x:v>
      </x:c>
      <x:c r="C106" s="36" t="n">
        <x:v>3</x:v>
      </x:c>
      <x:c r="D106" s="26" t="n">
        <x:v>1</x:v>
      </x:c>
      <x:c r="E106" s="26" t="n">
        <x:v>1</x:v>
      </x:c>
      <x:c r="F106" s="26" t="str">
        <x:v>Unique</x:v>
      </x:c>
      <x:c r="G106" s="36" t="n">
        <x:f>(D106+E106)/2</x:f>
        <x:v>1</x:v>
      </x:c>
      <x:c r="H106" s="36" t="n">
        <x:f>IF(B106="coins",1,IFERROR(XLOOKUP(B106,'Items Master'!$A:$A,'Items Master'!$J:$J,0),0))</x:f>
        <x:v>300</x:v>
      </x:c>
      <x:c r="I106" s="36" t="n">
        <x:f>C106/100*G106*H106</x:f>
        <x:v>9</x:v>
      </x:c>
    </x:row>
    <x:row r="107" ht="15" hidden="0" customHeight="1">
      <x:c r="A107" s="26" t="str">
        <x:v>rival_goblin_archer</x:v>
      </x:c>
      <x:c r="B107" s="26" t="str">
        <x:v>iron_arrows</x:v>
      </x:c>
      <x:c r="C107" s="36" t="n">
        <x:v>45</x:v>
      </x:c>
      <x:c r="D107" s="26" t="n">
        <x:v>10</x:v>
      </x:c>
      <x:c r="E107" s="26" t="n">
        <x:v>35</x:v>
      </x:c>
      <x:c r="F107" s="26" t="str">
        <x:v>Ammo</x:v>
      </x:c>
      <x:c r="G107" s="36" t="n">
        <x:f>(D107+E107)/2</x:f>
        <x:v>22.5</x:v>
      </x:c>
      <x:c r="H107" s="36" t="n">
        <x:f>IF(B107="coins",1,IFERROR(XLOOKUP(B107,'Items Master'!$A:$A,'Items Master'!$J:$J,0),0))</x:f>
        <x:v>5</x:v>
      </x:c>
      <x:c r="I107" s="36" t="n">
        <x:f>C107/100*G107*H107</x:f>
        <x:v>50.625</x:v>
      </x:c>
    </x:row>
    <x:row r="108" ht="15" hidden="0" customHeight="1">
      <x:c r="A108" s="26" t="str">
        <x:v>rival_goblin_archer</x:v>
      </x:c>
      <x:c r="B108" s="26" t="str">
        <x:v>oak_bow</x:v>
      </x:c>
      <x:c r="C108" s="36" t="n">
        <x:v>10</x:v>
      </x:c>
      <x:c r="D108" s="26" t="n">
        <x:v>1</x:v>
      </x:c>
      <x:c r="E108" s="26" t="n">
        <x:v>1</x:v>
      </x:c>
      <x:c r="F108" s="26" t="str">
        <x:v>Bow</x:v>
      </x:c>
      <x:c r="G108" s="36" t="n">
        <x:f>(D108+E108)/2</x:f>
        <x:v>1</x:v>
      </x:c>
      <x:c r="H108" s="36" t="n">
        <x:f>IF(B108="coins",1,IFERROR(XLOOKUP(B108,'Items Master'!$A:$A,'Items Master'!$J:$J,0),0))</x:f>
        <x:v>100</x:v>
      </x:c>
      <x:c r="I108" s="36" t="n">
        <x:f>C108/100*G108*H108</x:f>
        <x:v>10</x:v>
      </x:c>
    </x:row>
    <x:row r="109" ht="15" hidden="0" customHeight="1">
      <x:c r="A109" s="26" t="str">
        <x:v>rival_goblin_archer</x:v>
      </x:c>
      <x:c r="B109" s="26" t="str">
        <x:v>bowstring</x:v>
      </x:c>
      <x:c r="C109" s="36" t="n">
        <x:v>20</x:v>
      </x:c>
      <x:c r="D109" s="26" t="n">
        <x:v>1</x:v>
      </x:c>
      <x:c r="E109" s="26" t="n">
        <x:v>3</x:v>
      </x:c>
      <x:c r="F109" s="26" t="str">
        <x:v>Crafting</x:v>
      </x:c>
      <x:c r="G109" s="36" t="n">
        <x:f>(D109+E109)/2</x:f>
        <x:v>2</x:v>
      </x:c>
      <x:c r="H109" s="36" t="n">
        <x:f>IF(B109="coins",1,IFERROR(XLOOKUP(B109,'Items Master'!$A:$A,'Items Master'!$J:$J,0),0))</x:f>
        <x:v>25</x:v>
      </x:c>
      <x:c r="I109" s="36" t="n">
        <x:f>C109/100*G109*H109</x:f>
        <x:v>10</x:v>
      </x:c>
    </x:row>
    <x:row r="110" ht="15" hidden="0" customHeight="1">
      <x:c r="A110" s="26" t="str">
        <x:v>rival_goblin_archer</x:v>
      </x:c>
      <x:c r="B110" s="26" t="str">
        <x:v>coins</x:v>
      </x:c>
      <x:c r="C110" s="36" t="n">
        <x:v>45</x:v>
      </x:c>
      <x:c r="D110" s="26" t="n">
        <x:v>40</x:v>
      </x:c>
      <x:c r="E110" s="26" t="n">
        <x:v>100</x:v>
      </x:c>
      <x:c r="F110" s="26" t="str">
        <x:v>GP</x:v>
      </x:c>
      <x:c r="G110" s="36" t="n">
        <x:f>(D110+E110)/2</x:f>
        <x:v>70</x:v>
      </x:c>
      <x:c r="H110" s="36" t="n">
        <x:f>IF(B110="coins",1,IFERROR(XLOOKUP(B110,'Items Master'!$A:$A,'Items Master'!$J:$J,0),0))</x:f>
        <x:v>1</x:v>
      </x:c>
      <x:c r="I110" s="36" t="n">
        <x:f>C110/100*G110*H110</x:f>
        <x:v>31.5</x:v>
      </x:c>
    </x:row>
    <x:row r="111" ht="15" hidden="0" customHeight="1">
      <x:c r="A111" s="26" t="str">
        <x:v>rival_goblin_archer</x:v>
      </x:c>
      <x:c r="B111" s="26" t="str">
        <x:v>archer_wristguard</x:v>
      </x:c>
      <x:c r="C111" s="36" t="n">
        <x:v>2</x:v>
      </x:c>
      <x:c r="D111" s="26" t="n">
        <x:v>1</x:v>
      </x:c>
      <x:c r="E111" s="26" t="n">
        <x:v>1</x:v>
      </x:c>
      <x:c r="F111" s="26" t="str">
        <x:v>Unique</x:v>
      </x:c>
      <x:c r="G111" s="36" t="n">
        <x:f>(D111+E111)/2</x:f>
        <x:v>1</x:v>
      </x:c>
      <x:c r="H111" s="36" t="n">
        <x:f>IF(B111="coins",1,IFERROR(XLOOKUP(B111,'Items Master'!$A:$A,'Items Master'!$J:$J,0),0))</x:f>
        <x:v>4</x:v>
      </x:c>
      <x:c r="I111" s="36" t="n">
        <x:f>C111/100*G111*H111</x:f>
        <x:v>0.08</x:v>
      </x:c>
    </x:row>
    <x:row r="112" ht="15" hidden="0" customHeight="1">
      <x:c r="A112" s="26" t="str">
        <x:v>deep_cave_crawler</x:v>
      </x:c>
      <x:c r="B112" s="26" t="str">
        <x:v>coal</x:v>
      </x:c>
      <x:c r="C112" s="36" t="n">
        <x:v>30</x:v>
      </x:c>
      <x:c r="D112" s="26" t="n">
        <x:v>1</x:v>
      </x:c>
      <x:c r="E112" s="26" t="n">
        <x:v>3</x:v>
      </x:c>
      <x:c r="F112" s="26" t="str">
        <x:v>Smithing</x:v>
      </x:c>
      <x:c r="G112" s="36" t="n">
        <x:f>(D112+E112)/2</x:f>
        <x:v>2</x:v>
      </x:c>
      <x:c r="H112" s="36" t="n">
        <x:f>IF(B112="coins",1,IFERROR(XLOOKUP(B112,'Items Master'!$A:$A,'Items Master'!$J:$J,0),0))</x:f>
        <x:v>25</x:v>
      </x:c>
      <x:c r="I112" s="36" t="n">
        <x:f>C112/100*G112*H112</x:f>
        <x:v>15</x:v>
      </x:c>
    </x:row>
    <x:row r="113" ht="15" hidden="0" customHeight="1">
      <x:c r="A113" s="26" t="str">
        <x:v>deep_cave_crawler</x:v>
      </x:c>
      <x:c r="B113" s="26" t="str">
        <x:v>gold_ore</x:v>
      </x:c>
      <x:c r="C113" s="36" t="n">
        <x:v>15</x:v>
      </x:c>
      <x:c r="D113" s="26" t="n">
        <x:v>1</x:v>
      </x:c>
      <x:c r="E113" s="26" t="n">
        <x:v>2</x:v>
      </x:c>
      <x:c r="F113" s="26" t="str">
        <x:v>Smithing/Crafting</x:v>
      </x:c>
      <x:c r="G113" s="36" t="n">
        <x:f>(D113+E113)/2</x:f>
        <x:v>1.5</x:v>
      </x:c>
      <x:c r="H113" s="36" t="n">
        <x:f>IF(B113="coins",1,IFERROR(XLOOKUP(B113,'Items Master'!$A:$A,'Items Master'!$J:$J,0),0))</x:f>
        <x:v>75</x:v>
      </x:c>
      <x:c r="I113" s="36" t="n">
        <x:f>C113/100*G113*H113</x:f>
        <x:v>16.875</x:v>
      </x:c>
    </x:row>
    <x:row r="114" ht="15" hidden="0" customHeight="1">
      <x:c r="A114" s="26" t="str">
        <x:v>deep_cave_crawler</x:v>
      </x:c>
      <x:c r="B114" s="26" t="str">
        <x:v>raw_cavefish</x:v>
      </x:c>
      <x:c r="C114" s="36" t="n">
        <x:v>10</x:v>
      </x:c>
      <x:c r="D114" s="26" t="n">
        <x:v>1</x:v>
      </x:c>
      <x:c r="E114" s="26" t="n">
        <x:v>1</x:v>
      </x:c>
      <x:c r="F114" s="26" t="str">
        <x:v>Food</x:v>
      </x:c>
      <x:c r="G114" s="36" t="n">
        <x:f>(D114+E114)/2</x:f>
        <x:v>1</x:v>
      </x:c>
      <x:c r="H114" s="36" t="n">
        <x:f>IF(B114="coins",1,IFERROR(XLOOKUP(B114,'Items Master'!$A:$A,'Items Master'!$J:$J,0),0))</x:f>
        <x:v>80</x:v>
      </x:c>
      <x:c r="I114" s="36" t="n">
        <x:f>C114/100*G114*H114</x:f>
        <x:v>8</x:v>
      </x:c>
    </x:row>
    <x:row r="115" ht="15" hidden="0" customHeight="1">
      <x:c r="A115" s="26" t="str">
        <x:v>deep_cave_crawler</x:v>
      </x:c>
      <x:c r="B115" s="26" t="str">
        <x:v>chitin_plate</x:v>
      </x:c>
      <x:c r="C115" s="36" t="n">
        <x:v>25</x:v>
      </x:c>
      <x:c r="D115" s="26" t="n">
        <x:v>1</x:v>
      </x:c>
      <x:c r="E115" s="26" t="n">
        <x:v>2</x:v>
      </x:c>
      <x:c r="F115" s="26" t="str">
        <x:v>Crafting</x:v>
      </x:c>
      <x:c r="G115" s="36" t="n">
        <x:f>(D115+E115)/2</x:f>
        <x:v>1.5</x:v>
      </x:c>
      <x:c r="H115" s="36" t="n">
        <x:f>IF(B115="coins",1,IFERROR(XLOOKUP(B115,'Items Master'!$A:$A,'Items Master'!$J:$J,0),0))</x:f>
        <x:v>60</x:v>
      </x:c>
      <x:c r="I115" s="36" t="n">
        <x:f>C115/100*G115*H115</x:f>
        <x:v>22.5</x:v>
      </x:c>
    </x:row>
    <x:row r="116" ht="15" hidden="0" customHeight="1">
      <x:c r="A116" s="26" t="str">
        <x:v>deep_cave_crawler</x:v>
      </x:c>
      <x:c r="B116" s="26" t="str">
        <x:v>crawler_claw</x:v>
      </x:c>
      <x:c r="C116" s="36" t="n">
        <x:v>2</x:v>
      </x:c>
      <x:c r="D116" s="26" t="n">
        <x:v>1</x:v>
      </x:c>
      <x:c r="E116" s="26" t="n">
        <x:v>1</x:v>
      </x:c>
      <x:c r="F116" s="26" t="str">
        <x:v>Unique</x:v>
      </x:c>
      <x:c r="G116" s="36" t="n">
        <x:f>(D116+E116)/2</x:f>
        <x:v>1</x:v>
      </x:c>
      <x:c r="H116" s="36" t="n">
        <x:f>IF(B116="coins",1,IFERROR(XLOOKUP(B116,'Items Master'!$A:$A,'Items Master'!$J:$J,0),0))</x:f>
        <x:v>220</x:v>
      </x:c>
      <x:c r="I116" s="36" t="n">
        <x:f>C116/100*G116*H116</x:f>
        <x:v>4.4</x:v>
      </x:c>
    </x:row>
    <x:row r="117" ht="15" hidden="0" customHeight="1">
      <x:c r="A117" s="26" t="str">
        <x:v>black_iron_crab</x:v>
      </x:c>
      <x:c r="B117" s="26" t="str">
        <x:v>black_iron_ore</x:v>
      </x:c>
      <x:c r="C117" s="36" t="n">
        <x:v>35</x:v>
      </x:c>
      <x:c r="D117" s="26" t="n">
        <x:v>1</x:v>
      </x:c>
      <x:c r="E117" s="26" t="n">
        <x:v>3</x:v>
      </x:c>
      <x:c r="F117" s="26" t="str">
        <x:v>Smithing</x:v>
      </x:c>
      <x:c r="G117" s="36" t="n">
        <x:f>(D117+E117)/2</x:f>
        <x:v>2</x:v>
      </x:c>
      <x:c r="H117" s="36" t="n">
        <x:f>IF(B117="coins",1,IFERROR(XLOOKUP(B117,'Items Master'!$A:$A,'Items Master'!$J:$J,0),0))</x:f>
        <x:v>115</x:v>
      </x:c>
      <x:c r="I117" s="36" t="n">
        <x:f>C117/100*G117*H117</x:f>
        <x:v>80.5</x:v>
      </x:c>
    </x:row>
    <x:row r="118" ht="15" hidden="0" customHeight="1">
      <x:c r="A118" s="26" t="str">
        <x:v>black_iron_crab</x:v>
      </x:c>
      <x:c r="B118" s="26" t="str">
        <x:v>coal</x:v>
      </x:c>
      <x:c r="C118" s="36" t="n">
        <x:v>25</x:v>
      </x:c>
      <x:c r="D118" s="26" t="n">
        <x:v>1</x:v>
      </x:c>
      <x:c r="E118" s="26" t="n">
        <x:v>3</x:v>
      </x:c>
      <x:c r="F118" s="26" t="str">
        <x:v>Smithing</x:v>
      </x:c>
      <x:c r="G118" s="36" t="n">
        <x:f>(D118+E118)/2</x:f>
        <x:v>2</x:v>
      </x:c>
      <x:c r="H118" s="36" t="n">
        <x:f>IF(B118="coins",1,IFERROR(XLOOKUP(B118,'Items Master'!$A:$A,'Items Master'!$J:$J,0),0))</x:f>
        <x:v>25</x:v>
      </x:c>
      <x:c r="I118" s="36" t="n">
        <x:f>C118/100*G118*H118</x:f>
        <x:v>12.5</x:v>
      </x:c>
    </x:row>
    <x:row r="119" ht="15" hidden="0" customHeight="1">
      <x:c r="A119" s="26" t="str">
        <x:v>black_iron_crab</x:v>
      </x:c>
      <x:c r="B119" s="26" t="str">
        <x:v>crab_meat</x:v>
      </x:c>
      <x:c r="C119" s="36" t="n">
        <x:v>25</x:v>
      </x:c>
      <x:c r="D119" s="26" t="n">
        <x:v>1</x:v>
      </x:c>
      <x:c r="E119" s="26" t="n">
        <x:v>2</x:v>
      </x:c>
      <x:c r="F119" s="26" t="str">
        <x:v>Cooking</x:v>
      </x:c>
      <x:c r="G119" s="36" t="n">
        <x:f>(D119+E119)/2</x:f>
        <x:v>1.5</x:v>
      </x:c>
      <x:c r="H119" s="36" t="n">
        <x:f>IF(B119="coins",1,IFERROR(XLOOKUP(B119,'Items Master'!$A:$A,'Items Master'!$J:$J,0),0))</x:f>
        <x:v>18</x:v>
      </x:c>
      <x:c r="I119" s="36" t="n">
        <x:f>C119/100*G119*H119</x:f>
        <x:v>6.75</x:v>
      </x:c>
    </x:row>
    <x:row r="120" ht="15" hidden="0" customHeight="1">
      <x:c r="A120" s="26" t="str">
        <x:v>black_iron_crab</x:v>
      </x:c>
      <x:c r="B120" s="26" t="str">
        <x:v>heavy_shell</x:v>
      </x:c>
      <x:c r="C120" s="36" t="n">
        <x:v>20</x:v>
      </x:c>
      <x:c r="D120" s="26" t="n">
        <x:v>1</x:v>
      </x:c>
      <x:c r="E120" s="26" t="n">
        <x:v>1</x:v>
      </x:c>
      <x:c r="F120" s="26" t="str">
        <x:v>Crafting</x:v>
      </x:c>
      <x:c r="G120" s="36" t="n">
        <x:f>(D120+E120)/2</x:f>
        <x:v>1</x:v>
      </x:c>
      <x:c r="H120" s="36" t="n">
        <x:f>IF(B120="coins",1,IFERROR(XLOOKUP(B120,'Items Master'!$A:$A,'Items Master'!$J:$J,0),0))</x:f>
        <x:v>95</x:v>
      </x:c>
      <x:c r="I120" s="36" t="n">
        <x:f>C120/100*G120*H120</x:f>
        <x:v>19</x:v>
      </x:c>
    </x:row>
    <x:row r="121" ht="15" hidden="0" customHeight="1">
      <x:c r="A121" s="26" t="str">
        <x:v>black_iron_crab</x:v>
      </x:c>
      <x:c r="B121" s="26" t="str">
        <x:v>black_crab_core</x:v>
      </x:c>
      <x:c r="C121" s="36" t="n">
        <x:v>1.5</x:v>
      </x:c>
      <x:c r="D121" s="26" t="n">
        <x:v>1</x:v>
      </x:c>
      <x:c r="E121" s="26" t="n">
        <x:v>1</x:v>
      </x:c>
      <x:c r="F121" s="26" t="str">
        <x:v>Unique</x:v>
      </x:c>
      <x:c r="G121" s="36" t="n">
        <x:f>(D121+E121)/2</x:f>
        <x:v>1</x:v>
      </x:c>
      <x:c r="H121" s="36" t="n">
        <x:f>IF(B121="coins",1,IFERROR(XLOOKUP(B121,'Items Master'!$A:$A,'Items Master'!$J:$J,0),0))</x:f>
        <x:v>450</x:v>
      </x:c>
      <x:c r="I121" s="36" t="n">
        <x:f>C121/100*G121*H121</x:f>
        <x:v>6.75</x:v>
      </x:c>
    </x:row>
    <x:row r="122" ht="15" hidden="0" customHeight="1">
      <x:c r="A122" s="26" t="str">
        <x:v>swamp_shaman</x:v>
      </x:c>
      <x:c r="B122" s="26" t="str">
        <x:v>swamp_herb</x:v>
      </x:c>
      <x:c r="C122" s="36" t="n">
        <x:v>35</x:v>
      </x:c>
      <x:c r="D122" s="26" t="n">
        <x:v>1</x:v>
      </x:c>
      <x:c r="E122" s="26" t="n">
        <x:v>3</x:v>
      </x:c>
      <x:c r="F122" s="26" t="str">
        <x:v>Swamp</x:v>
      </x:c>
      <x:c r="G122" s="36" t="n">
        <x:f>(D122+E122)/2</x:f>
        <x:v>2</x:v>
      </x:c>
      <x:c r="H122" s="36" t="n">
        <x:f>IF(B122="coins",1,IFERROR(XLOOKUP(B122,'Items Master'!$A:$A,'Items Master'!$J:$J,0),0))</x:f>
        <x:v>45</x:v>
      </x:c>
      <x:c r="I122" s="36" t="n">
        <x:f>C122/100*G122*H122</x:f>
        <x:v>31.499999999999996</x:v>
      </x:c>
    </x:row>
    <x:row r="123" ht="15" hidden="0" customHeight="1">
      <x:c r="A123" s="26" t="str">
        <x:v>swamp_shaman</x:v>
      </x:c>
      <x:c r="B123" s="26" t="str">
        <x:v>bone_amulet</x:v>
      </x:c>
      <x:c r="C123" s="36" t="n">
        <x:v>8</x:v>
      </x:c>
      <x:c r="D123" s="26" t="n">
        <x:v>1</x:v>
      </x:c>
      <x:c r="E123" s="26" t="n">
        <x:v>1</x:v>
      </x:c>
      <x:c r="F123" s="26" t="str">
        <x:v>Jewelry</x:v>
      </x:c>
      <x:c r="G123" s="36" t="n">
        <x:f>(D123+E123)/2</x:f>
        <x:v>1</x:v>
      </x:c>
      <x:c r="H123" s="36" t="n">
        <x:f>IF(B123="coins",1,IFERROR(XLOOKUP(B123,'Items Master'!$A:$A,'Items Master'!$J:$J,0),0))</x:f>
        <x:v>16</x:v>
      </x:c>
      <x:c r="I123" s="36" t="n">
        <x:f>C123/100*G123*H123</x:f>
        <x:v>1.28</x:v>
      </x:c>
    </x:row>
    <x:row r="124" ht="15" hidden="0" customHeight="1">
      <x:c r="A124" s="26" t="str">
        <x:v>swamp_shaman</x:v>
      </x:c>
      <x:c r="B124" s="26" t="str">
        <x:v>gold_ore</x:v>
      </x:c>
      <x:c r="C124" s="36" t="n">
        <x:v>10</x:v>
      </x:c>
      <x:c r="D124" s="26" t="n">
        <x:v>1</x:v>
      </x:c>
      <x:c r="E124" s="26" t="n">
        <x:v>2</x:v>
      </x:c>
      <x:c r="F124" s="26" t="str">
        <x:v>Smithing</x:v>
      </x:c>
      <x:c r="G124" s="36" t="n">
        <x:f>(D124+E124)/2</x:f>
        <x:v>1.5</x:v>
      </x:c>
      <x:c r="H124" s="36" t="n">
        <x:f>IF(B124="coins",1,IFERROR(XLOOKUP(B124,'Items Master'!$A:$A,'Items Master'!$J:$J,0),0))</x:f>
        <x:v>75</x:v>
      </x:c>
      <x:c r="I124" s="36" t="n">
        <x:f>C124/100*G124*H124</x:f>
        <x:v>11.250000000000002</x:v>
      </x:c>
    </x:row>
    <x:row r="125" ht="15" hidden="0" customHeight="1">
      <x:c r="A125" s="26" t="str">
        <x:v>swamp_shaman</x:v>
      </x:c>
      <x:c r="B125" s="26" t="str">
        <x:v>coins</x:v>
      </x:c>
      <x:c r="C125" s="36" t="n">
        <x:v>50</x:v>
      </x:c>
      <x:c r="D125" s="26" t="n">
        <x:v>60</x:v>
      </x:c>
      <x:c r="E125" s="26" t="n">
        <x:v>150</x:v>
      </x:c>
      <x:c r="F125" s="26" t="str">
        <x:v>GP</x:v>
      </x:c>
      <x:c r="G125" s="36" t="n">
        <x:f>(D125+E125)/2</x:f>
        <x:v>105</x:v>
      </x:c>
      <x:c r="H125" s="36" t="n">
        <x:f>IF(B125="coins",1,IFERROR(XLOOKUP(B125,'Items Master'!$A:$A,'Items Master'!$J:$J,0),0))</x:f>
        <x:v>1</x:v>
      </x:c>
      <x:c r="I125" s="36" t="n">
        <x:f>C125/100*G125*H125</x:f>
        <x:v>52.5</x:v>
      </x:c>
    </x:row>
    <x:row r="126" ht="15" hidden="0" customHeight="1">
      <x:c r="A126" s="26" t="str">
        <x:v>swamp_shaman</x:v>
      </x:c>
      <x:c r="B126" s="26" t="str">
        <x:v>shaman_totem</x:v>
      </x:c>
      <x:c r="C126" s="36" t="n">
        <x:v>2</x:v>
      </x:c>
      <x:c r="D126" s="26" t="n">
        <x:v>1</x:v>
      </x:c>
      <x:c r="E126" s="26" t="n">
        <x:v>1</x:v>
      </x:c>
      <x:c r="F126" s="26" t="str">
        <x:v>Unique</x:v>
      </x:c>
      <x:c r="G126" s="36" t="n">
        <x:f>(D126+E126)/2</x:f>
        <x:v>1</x:v>
      </x:c>
      <x:c r="H126" s="36" t="n">
        <x:f>IF(B126="coins",1,IFERROR(XLOOKUP(B126,'Items Master'!$A:$A,'Items Master'!$J:$J,0),0))</x:f>
        <x:v>500</x:v>
      </x:c>
      <x:c r="I126" s="36" t="n">
        <x:f>C126/100*G126*H126</x:f>
        <x:v>10</x:v>
      </x:c>
    </x:row>
    <x:row r="127" ht="15" hidden="0" customHeight="1">
      <x:c r="A127" s="26" t="str">
        <x:v>rival_goblin_brute</x:v>
      </x:c>
      <x:c r="B127" s="26" t="str">
        <x:v>steel_bar</x:v>
      </x:c>
      <x:c r="C127" s="36" t="n">
        <x:v>20</x:v>
      </x:c>
      <x:c r="D127" s="26" t="n">
        <x:v>1</x:v>
      </x:c>
      <x:c r="E127" s="26" t="n">
        <x:v>2</x:v>
      </x:c>
      <x:c r="F127" s="26" t="str">
        <x:v>Smithing</x:v>
      </x:c>
      <x:c r="G127" s="36" t="n">
        <x:f>(D127+E127)/2</x:f>
        <x:v>1.5</x:v>
      </x:c>
      <x:c r="H127" s="36" t="n">
        <x:f>IF(B127="coins",1,IFERROR(XLOOKUP(B127,'Items Master'!$A:$A,'Items Master'!$J:$J,0),0))</x:f>
        <x:v>95</x:v>
      </x:c>
      <x:c r="I127" s="36" t="n">
        <x:f>C127/100*G127*H127</x:f>
        <x:v>28.500000000000004</x:v>
      </x:c>
    </x:row>
    <x:row r="128" ht="15" hidden="0" customHeight="1">
      <x:c r="A128" s="26" t="str">
        <x:v>rival_goblin_brute</x:v>
      </x:c>
      <x:c r="B128" s="26" t="str">
        <x:v>black_iron_ore</x:v>
      </x:c>
      <x:c r="C128" s="36" t="n">
        <x:v>15</x:v>
      </x:c>
      <x:c r="D128" s="26" t="n">
        <x:v>1</x:v>
      </x:c>
      <x:c r="E128" s="26" t="n">
        <x:v>2</x:v>
      </x:c>
      <x:c r="F128" s="26" t="str">
        <x:v>Smithing</x:v>
      </x:c>
      <x:c r="G128" s="36" t="n">
        <x:f>(D128+E128)/2</x:f>
        <x:v>1.5</x:v>
      </x:c>
      <x:c r="H128" s="36" t="n">
        <x:f>IF(B128="coins",1,IFERROR(XLOOKUP(B128,'Items Master'!$A:$A,'Items Master'!$J:$J,0),0))</x:f>
        <x:v>115</x:v>
      </x:c>
      <x:c r="I128" s="36" t="n">
        <x:f>C128/100*G128*H128</x:f>
        <x:v>25.874999999999996</x:v>
      </x:c>
    </x:row>
    <x:row r="129" ht="15" hidden="0" customHeight="1">
      <x:c r="A129" s="26" t="str">
        <x:v>rival_goblin_brute</x:v>
      </x:c>
      <x:c r="B129" s="26" t="str">
        <x:v>carp_fillet</x:v>
      </x:c>
      <x:c r="C129" s="36" t="n">
        <x:v>20</x:v>
      </x:c>
      <x:c r="D129" s="26" t="n">
        <x:v>1</x:v>
      </x:c>
      <x:c r="E129" s="26" t="n">
        <x:v>2</x:v>
      </x:c>
      <x:c r="F129" s="26" t="str">
        <x:v>Food</x:v>
      </x:c>
      <x:c r="G129" s="36" t="n">
        <x:f>(D129+E129)/2</x:f>
        <x:v>1.5</x:v>
      </x:c>
      <x:c r="H129" s="36" t="n">
        <x:f>IF(B129="coins",1,IFERROR(XLOOKUP(B129,'Items Master'!$A:$A,'Items Master'!$J:$J,0),0))</x:f>
        <x:v>75</x:v>
      </x:c>
      <x:c r="I129" s="36" t="n">
        <x:f>C129/100*G129*H129</x:f>
        <x:v>22.500000000000004</x:v>
      </x:c>
    </x:row>
    <x:row r="130" ht="15" hidden="0" customHeight="1">
      <x:c r="A130" s="26" t="str">
        <x:v>rival_goblin_brute</x:v>
      </x:c>
      <x:c r="B130" s="26" t="str">
        <x:v>coins</x:v>
      </x:c>
      <x:c r="C130" s="36" t="n">
        <x:v>55</x:v>
      </x:c>
      <x:c r="D130" s="26" t="n">
        <x:v>80</x:v>
      </x:c>
      <x:c r="E130" s="26" t="n">
        <x:v>200</x:v>
      </x:c>
      <x:c r="F130" s="26" t="str">
        <x:v>GP</x:v>
      </x:c>
      <x:c r="G130" s="36" t="n">
        <x:f>(D130+E130)/2</x:f>
        <x:v>140</x:v>
      </x:c>
      <x:c r="H130" s="36" t="n">
        <x:f>IF(B130="coins",1,IFERROR(XLOOKUP(B130,'Items Master'!$A:$A,'Items Master'!$J:$J,0),0))</x:f>
        <x:v>1</x:v>
      </x:c>
      <x:c r="I130" s="36" t="n">
        <x:f>C130/100*G130*H130</x:f>
        <x:v>77</x:v>
      </x:c>
    </x:row>
    <x:row r="131" ht="15" hidden="0" customHeight="1">
      <x:c r="A131" s="26" t="str">
        <x:v>rival_goblin_brute</x:v>
      </x:c>
      <x:c r="B131" s="26" t="str">
        <x:v>brute_club_head</x:v>
      </x:c>
      <x:c r="C131" s="36" t="n">
        <x:v>2</x:v>
      </x:c>
      <x:c r="D131" s="26" t="n">
        <x:v>1</x:v>
      </x:c>
      <x:c r="E131" s="26" t="n">
        <x:v>1</x:v>
      </x:c>
      <x:c r="F131" s="26" t="str">
        <x:v>Unique</x:v>
      </x:c>
      <x:c r="G131" s="36" t="n">
        <x:f>(D131+E131)/2</x:f>
        <x:v>1</x:v>
      </x:c>
      <x:c r="H131" s="36" t="n">
        <x:f>IF(B131="coins",1,IFERROR(XLOOKUP(B131,'Items Master'!$A:$A,'Items Master'!$J:$J,0),0))</x:f>
        <x:v>380</x:v>
      </x:c>
      <x:c r="I131" s="36" t="n">
        <x:f>C131/100*G131*H131</x:f>
        <x:v>7.6000000000000005</x:v>
      </x:c>
    </x:row>
    <x:row r="132" ht="15" hidden="0" customHeight="1">
      <x:c r="A132" s="26" t="str">
        <x:v>troll_whelp</x:v>
      </x:c>
      <x:c r="B132" s="26" t="str">
        <x:v>troll_meat</x:v>
      </x:c>
      <x:c r="C132" s="36" t="n">
        <x:v>40</x:v>
      </x:c>
      <x:c r="D132" s="26" t="n">
        <x:v>1</x:v>
      </x:c>
      <x:c r="E132" s="26" t="n">
        <x:v>2</x:v>
      </x:c>
      <x:c r="F132" s="26" t="str">
        <x:v>Cooking</x:v>
      </x:c>
      <x:c r="G132" s="36" t="n">
        <x:f>(D132+E132)/2</x:f>
        <x:v>1.5</x:v>
      </x:c>
      <x:c r="H132" s="36" t="n">
        <x:f>IF(B132="coins",1,IFERROR(XLOOKUP(B132,'Items Master'!$A:$A,'Items Master'!$J:$J,0),0))</x:f>
        <x:v>45</x:v>
      </x:c>
      <x:c r="I132" s="36" t="n">
        <x:f>C132/100*G132*H132</x:f>
        <x:v>27.000000000000004</x:v>
      </x:c>
    </x:row>
    <x:row r="133" ht="15" hidden="0" customHeight="1">
      <x:c r="A133" s="26" t="str">
        <x:v>troll_whelp</x:v>
      </x:c>
      <x:c r="B133" s="26" t="str">
        <x:v>big_bones</x:v>
      </x:c>
      <x:c r="C133" s="36" t="n">
        <x:v>35</x:v>
      </x:c>
      <x:c r="D133" s="26" t="n">
        <x:v>1</x:v>
      </x:c>
      <x:c r="E133" s="26" t="n">
        <x:v>2</x:v>
      </x:c>
      <x:c r="F133" s="26" t="str">
        <x:v>Crafting</x:v>
      </x:c>
      <x:c r="G133" s="36" t="n">
        <x:f>(D133+E133)/2</x:f>
        <x:v>1.5</x:v>
      </x:c>
      <x:c r="H133" s="36" t="n">
        <x:f>IF(B133="coins",1,IFERROR(XLOOKUP(B133,'Items Master'!$A:$A,'Items Master'!$J:$J,0),0))</x:f>
        <x:v>25</x:v>
      </x:c>
      <x:c r="I133" s="36" t="n">
        <x:f>C133/100*G133*H133</x:f>
        <x:v>13.124999999999998</x:v>
      </x:c>
    </x:row>
    <x:row r="134" ht="15" hidden="0" customHeight="1">
      <x:c r="A134" s="26" t="str">
        <x:v>troll_whelp</x:v>
      </x:c>
      <x:c r="B134" s="26" t="str">
        <x:v>coal</x:v>
      </x:c>
      <x:c r="C134" s="36" t="n">
        <x:v>25</x:v>
      </x:c>
      <x:c r="D134" s="26" t="n">
        <x:v>1</x:v>
      </x:c>
      <x:c r="E134" s="26" t="n">
        <x:v>3</x:v>
      </x:c>
      <x:c r="F134" s="26" t="str">
        <x:v>Smithing</x:v>
      </x:c>
      <x:c r="G134" s="36" t="n">
        <x:f>(D134+E134)/2</x:f>
        <x:v>2</x:v>
      </x:c>
      <x:c r="H134" s="36" t="n">
        <x:f>IF(B134="coins",1,IFERROR(XLOOKUP(B134,'Items Master'!$A:$A,'Items Master'!$J:$J,0),0))</x:f>
        <x:v>25</x:v>
      </x:c>
      <x:c r="I134" s="36" t="n">
        <x:f>C134/100*G134*H134</x:f>
        <x:v>12.5</x:v>
      </x:c>
    </x:row>
    <x:row r="135" ht="15" hidden="0" customHeight="1">
      <x:c r="A135" s="26" t="str">
        <x:v>troll_whelp</x:v>
      </x:c>
      <x:c r="B135" s="26" t="str">
        <x:v>gold_ore</x:v>
      </x:c>
      <x:c r="C135" s="36" t="n">
        <x:v>12</x:v>
      </x:c>
      <x:c r="D135" s="26" t="n">
        <x:v>1</x:v>
      </x:c>
      <x:c r="E135" s="26" t="n">
        <x:v>2</x:v>
      </x:c>
      <x:c r="F135" s="26" t="str">
        <x:v>Crafting</x:v>
      </x:c>
      <x:c r="G135" s="36" t="n">
        <x:f>(D135+E135)/2</x:f>
        <x:v>1.5</x:v>
      </x:c>
      <x:c r="H135" s="36" t="n">
        <x:f>IF(B135="coins",1,IFERROR(XLOOKUP(B135,'Items Master'!$A:$A,'Items Master'!$J:$J,0),0))</x:f>
        <x:v>75</x:v>
      </x:c>
      <x:c r="I135" s="36" t="n">
        <x:f>C135/100*G135*H135</x:f>
        <x:v>13.5</x:v>
      </x:c>
    </x:row>
    <x:row r="136" ht="15" hidden="0" customHeight="1">
      <x:c r="A136" s="26" t="str">
        <x:v>troll_whelp</x:v>
      </x:c>
      <x:c r="B136" s="26" t="str">
        <x:v>troll_tooth</x:v>
      </x:c>
      <x:c r="C136" s="36" t="n">
        <x:v>2</x:v>
      </x:c>
      <x:c r="D136" s="26" t="n">
        <x:v>1</x:v>
      </x:c>
      <x:c r="E136" s="26" t="n">
        <x:v>1</x:v>
      </x:c>
      <x:c r="F136" s="26" t="str">
        <x:v>Unique</x:v>
      </x:c>
      <x:c r="G136" s="36" t="n">
        <x:f>(D136+E136)/2</x:f>
        <x:v>1</x:v>
      </x:c>
      <x:c r="H136" s="36" t="n">
        <x:f>IF(B136="coins",1,IFERROR(XLOOKUP(B136,'Items Master'!$A:$A,'Items Master'!$J:$J,0),0))</x:f>
        <x:v>260</x:v>
      </x:c>
      <x:c r="I136" s="36" t="n">
        <x:f>C136/100*G136*H136</x:f>
        <x:v>5.2</x:v>
      </x:c>
    </x:row>
    <x:row r="137" ht="15" hidden="0" customHeight="1">
      <x:c r="A137" s="26" t="str">
        <x:v>red_ear_captain</x:v>
      </x:c>
      <x:c r="B137" s="26" t="str">
        <x:v>coins</x:v>
      </x:c>
      <x:c r="C137" s="36" t="n">
        <x:v>70</x:v>
      </x:c>
      <x:c r="D137" s="26" t="n">
        <x:v>150</x:v>
      </x:c>
      <x:c r="E137" s="26" t="n">
        <x:v>400</x:v>
      </x:c>
      <x:c r="F137" s="26" t="str">
        <x:v>GP</x:v>
      </x:c>
      <x:c r="G137" s="36" t="n">
        <x:f>(D137+E137)/2</x:f>
        <x:v>275</x:v>
      </x:c>
      <x:c r="H137" s="36" t="n">
        <x:f>IF(B137="coins",1,IFERROR(XLOOKUP(B137,'Items Master'!$A:$A,'Items Master'!$J:$J,0),0))</x:f>
        <x:v>1</x:v>
      </x:c>
      <x:c r="I137" s="36" t="n">
        <x:f>C137/100*G137*H137</x:f>
        <x:v>192.5</x:v>
      </x:c>
    </x:row>
    <x:row r="138" ht="15" hidden="0" customHeight="1">
      <x:c r="A138" s="26" t="str">
        <x:v>red_ear_captain</x:v>
      </x:c>
      <x:c r="B138" s="26" t="str">
        <x:v>steel_spear</x:v>
      </x:c>
      <x:c r="C138" s="36" t="n">
        <x:v>12</x:v>
      </x:c>
      <x:c r="D138" s="26" t="n">
        <x:v>1</x:v>
      </x:c>
      <x:c r="E138" s="26" t="n">
        <x:v>1</x:v>
      </x:c>
      <x:c r="F138" s="26" t="str">
        <x:v>Weapon</x:v>
      </x:c>
      <x:c r="G138" s="36" t="n">
        <x:f>(D138+E138)/2</x:f>
        <x:v>1</x:v>
      </x:c>
      <x:c r="H138" s="36" t="n">
        <x:f>IF(B138="coins",1,IFERROR(XLOOKUP(B138,'Items Master'!$A:$A,'Items Master'!$J:$J,0),0))</x:f>
        <x:v>410</x:v>
      </x:c>
      <x:c r="I138" s="36" t="n">
        <x:f>C138/100*G138*H138</x:f>
        <x:v>49.199999999999996</x:v>
      </x:c>
    </x:row>
    <x:row r="139" ht="15" hidden="0" customHeight="1">
      <x:c r="A139" s="26" t="str">
        <x:v>red_ear_captain</x:v>
      </x:c>
      <x:c r="B139" s="26" t="str">
        <x:v>black_iron_bar</x:v>
      </x:c>
      <x:c r="C139" s="36" t="n">
        <x:v>8</x:v>
      </x:c>
      <x:c r="D139" s="26" t="n">
        <x:v>1</x:v>
      </x:c>
      <x:c r="E139" s="26" t="n">
        <x:v>2</x:v>
      </x:c>
      <x:c r="F139" s="26" t="str">
        <x:v>Smithing</x:v>
      </x:c>
      <x:c r="G139" s="36" t="n">
        <x:f>(D139+E139)/2</x:f>
        <x:v>1.5</x:v>
      </x:c>
      <x:c r="H139" s="36" t="n">
        <x:f>IF(B139="coins",1,IFERROR(XLOOKUP(B139,'Items Master'!$A:$A,'Items Master'!$J:$J,0),0))</x:f>
        <x:v>225</x:v>
      </x:c>
      <x:c r="I139" s="36" t="n">
        <x:f>C139/100*G139*H139</x:f>
        <x:v>27</x:v>
      </x:c>
    </x:row>
    <x:row r="140" ht="15" hidden="0" customHeight="1">
      <x:c r="A140" s="26" t="str">
        <x:v>red_ear_captain</x:v>
      </x:c>
      <x:c r="B140" s="26" t="str">
        <x:v>war_feast</x:v>
      </x:c>
      <x:c r="C140" s="36" t="n">
        <x:v>10</x:v>
      </x:c>
      <x:c r="D140" s="26" t="n">
        <x:v>1</x:v>
      </x:c>
      <x:c r="E140" s="26" t="n">
        <x:v>2</x:v>
      </x:c>
      <x:c r="F140" s="26" t="str">
        <x:v>Food</x:v>
      </x:c>
      <x:c r="G140" s="36" t="n">
        <x:f>(D140+E140)/2</x:f>
        <x:v>1.5</x:v>
      </x:c>
      <x:c r="H140" s="36" t="n">
        <x:f>IF(B140="coins",1,IFERROR(XLOOKUP(B140,'Items Master'!$A:$A,'Items Master'!$J:$J,0),0))</x:f>
        <x:v>450</x:v>
      </x:c>
      <x:c r="I140" s="36" t="n">
        <x:f>C140/100*G140*H140</x:f>
        <x:v>67.50000000000001</x:v>
      </x:c>
    </x:row>
    <x:row r="141" ht="15" hidden="0" customHeight="1">
      <x:c r="A141" s="26" t="str">
        <x:v>red_ear_captain</x:v>
      </x:c>
      <x:c r="B141" s="26" t="str">
        <x:v>captains_banner</x:v>
      </x:c>
      <x:c r="C141" s="36" t="n">
        <x:v>3</x:v>
      </x:c>
      <x:c r="D141" s="26" t="n">
        <x:v>1</x:v>
      </x:c>
      <x:c r="E141" s="26" t="n">
        <x:v>1</x:v>
      </x:c>
      <x:c r="F141" s="26" t="str">
        <x:v>Quest</x:v>
      </x:c>
      <x:c r="G141" s="36" t="n">
        <x:f>(D141+E141)/2</x:f>
        <x:v>1</x:v>
      </x:c>
      <x:c r="H141" s="36" t="n">
        <x:f>IF(B141="coins",1,IFERROR(XLOOKUP(B141,'Items Master'!$A:$A,'Items Master'!$J:$J,0),0))</x:f>
        <x:v>750</x:v>
      </x:c>
      <x:c r="I141" s="36" t="n">
        <x:f>C141/100*G141*H141</x:f>
        <x:v>22.5</x:v>
      </x:c>
    </x:row>
    <x:row r="142" ht="15" hidden="0" customHeight="1">
      <x:c r="A142" s="26" t="str">
        <x:v>red_ear_captain</x:v>
      </x:c>
      <x:c r="B142" s="26" t="str">
        <x:v>red_ear_spear_tip</x:v>
      </x:c>
      <x:c r="C142" s="36" t="n">
        <x:v>1</x:v>
      </x:c>
      <x:c r="D142" s="26" t="n">
        <x:v>1</x:v>
      </x:c>
      <x:c r="E142" s="26" t="n">
        <x:v>1</x:v>
      </x:c>
      <x:c r="F142" s="26" t="str">
        <x:v>Unique</x:v>
      </x:c>
      <x:c r="G142" s="36" t="n">
        <x:f>(D142+E142)/2</x:f>
        <x:v>1</x:v>
      </x:c>
      <x:c r="H142" s="36" t="n">
        <x:f>IF(B142="coins",1,IFERROR(XLOOKUP(B142,'Items Master'!$A:$A,'Items Master'!$J:$J,0),0))</x:f>
        <x:v>1000</x:v>
      </x:c>
      <x:c r="I142" s="36" t="n">
        <x:f>C142/100*G142*H142</x:f>
        <x:v>10</x:v>
      </x:c>
    </x:row>
    <x:row r="143" ht="15" hidden="0" customHeight="1">
      <x:c r="A143" s="26" t="str">
        <x:v>cave_troll</x:v>
      </x:c>
      <x:c r="B143" s="26" t="str">
        <x:v>big_bones</x:v>
      </x:c>
      <x:c r="C143" s="36" t="n">
        <x:v>55</x:v>
      </x:c>
      <x:c r="D143" s="26" t="n">
        <x:v>1</x:v>
      </x:c>
      <x:c r="E143" s="26" t="n">
        <x:v>3</x:v>
      </x:c>
      <x:c r="F143" s="26" t="str">
        <x:v>Crafting</x:v>
      </x:c>
      <x:c r="G143" s="36" t="n">
        <x:f>(D143+E143)/2</x:f>
        <x:v>2</x:v>
      </x:c>
      <x:c r="H143" s="36" t="n">
        <x:f>IF(B143="coins",1,IFERROR(XLOOKUP(B143,'Items Master'!$A:$A,'Items Master'!$J:$J,0),0))</x:f>
        <x:v>25</x:v>
      </x:c>
      <x:c r="I143" s="36" t="n">
        <x:f>C143/100*G143*H143</x:f>
        <x:v>27.500000000000004</x:v>
      </x:c>
    </x:row>
    <x:row r="144" ht="15" hidden="0" customHeight="1">
      <x:c r="A144" s="26" t="str">
        <x:v>cave_troll</x:v>
      </x:c>
      <x:c r="B144" s="26" t="str">
        <x:v>coal</x:v>
      </x:c>
      <x:c r="C144" s="36" t="n">
        <x:v>30</x:v>
      </x:c>
      <x:c r="D144" s="26" t="n">
        <x:v>2</x:v>
      </x:c>
      <x:c r="E144" s="26" t="n">
        <x:v>5</x:v>
      </x:c>
      <x:c r="F144" s="26" t="str">
        <x:v>Smithing</x:v>
      </x:c>
      <x:c r="G144" s="36" t="n">
        <x:f>(D144+E144)/2</x:f>
        <x:v>3.5</x:v>
      </x:c>
      <x:c r="H144" s="36" t="n">
        <x:f>IF(B144="coins",1,IFERROR(XLOOKUP(B144,'Items Master'!$A:$A,'Items Master'!$J:$J,0),0))</x:f>
        <x:v>25</x:v>
      </x:c>
      <x:c r="I144" s="36" t="n">
        <x:f>C144/100*G144*H144</x:f>
        <x:v>26.25</x:v>
      </x:c>
    </x:row>
    <x:row r="145" ht="15" hidden="0" customHeight="1">
      <x:c r="A145" s="26" t="str">
        <x:v>cave_troll</x:v>
      </x:c>
      <x:c r="B145" s="26" t="str">
        <x:v>gold_ore</x:v>
      </x:c>
      <x:c r="C145" s="36" t="n">
        <x:v>20</x:v>
      </x:c>
      <x:c r="D145" s="26" t="n">
        <x:v>1</x:v>
      </x:c>
      <x:c r="E145" s="26" t="n">
        <x:v>3</x:v>
      </x:c>
      <x:c r="F145" s="26" t="str">
        <x:v>Crafting</x:v>
      </x:c>
      <x:c r="G145" s="36" t="n">
        <x:f>(D145+E145)/2</x:f>
        <x:v>2</x:v>
      </x:c>
      <x:c r="H145" s="36" t="n">
        <x:f>IF(B145="coins",1,IFERROR(XLOOKUP(B145,'Items Master'!$A:$A,'Items Master'!$J:$J,0),0))</x:f>
        <x:v>75</x:v>
      </x:c>
      <x:c r="I145" s="36" t="n">
        <x:f>C145/100*G145*H145</x:f>
        <x:v>30</x:v>
      </x:c>
    </x:row>
    <x:row r="146" ht="15" hidden="0" customHeight="1">
      <x:c r="A146" s="26" t="str">
        <x:v>cave_troll</x:v>
      </x:c>
      <x:c r="B146" s="26" t="str">
        <x:v>troll_hide</x:v>
      </x:c>
      <x:c r="C146" s="36" t="n">
        <x:v>25</x:v>
      </x:c>
      <x:c r="D146" s="26" t="n">
        <x:v>1</x:v>
      </x:c>
      <x:c r="E146" s="26" t="n">
        <x:v>2</x:v>
      </x:c>
      <x:c r="F146" s="26" t="str">
        <x:v>Crafting</x:v>
      </x:c>
      <x:c r="G146" s="36" t="n">
        <x:f>(D146+E146)/2</x:f>
        <x:v>1.5</x:v>
      </x:c>
      <x:c r="H146" s="36" t="n">
        <x:f>IF(B146="coins",1,IFERROR(XLOOKUP(B146,'Items Master'!$A:$A,'Items Master'!$J:$J,0),0))</x:f>
        <x:v>100</x:v>
      </x:c>
      <x:c r="I146" s="36" t="n">
        <x:f>C146/100*G146*H146</x:f>
        <x:v>37.5</x:v>
      </x:c>
    </x:row>
    <x:row r="147" ht="15" hidden="0" customHeight="1">
      <x:c r="A147" s="26" t="str">
        <x:v>cave_troll</x:v>
      </x:c>
      <x:c r="B147" s="26" t="str">
        <x:v>troll_club</x:v>
      </x:c>
      <x:c r="C147" s="36" t="n">
        <x:v>2</x:v>
      </x:c>
      <x:c r="D147" s="26" t="n">
        <x:v>1</x:v>
      </x:c>
      <x:c r="E147" s="26" t="n">
        <x:v>1</x:v>
      </x:c>
      <x:c r="F147" s="26" t="str">
        <x:v>Unique</x:v>
      </x:c>
      <x:c r="G147" s="36" t="n">
        <x:f>(D147+E147)/2</x:f>
        <x:v>1</x:v>
      </x:c>
      <x:c r="H147" s="36" t="n">
        <x:f>IF(B147="coins",1,IFERROR(XLOOKUP(B147,'Items Master'!$A:$A,'Items Master'!$J:$J,0),0))</x:f>
        <x:v>4</x:v>
      </x:c>
      <x:c r="I147" s="36" t="n">
        <x:f>C147/100*G147*H147</x:f>
        <x:v>0.08</x:v>
      </x:c>
    </x:row>
    <x:row r="148" ht="15" hidden="0" customHeight="1">
      <x:c r="A148" s="26" t="str">
        <x:v>cave_troll</x:v>
      </x:c>
      <x:c r="B148" s="26" t="str">
        <x:v>mountain_key_fragment</x:v>
      </x:c>
      <x:c r="C148" s="36" t="n">
        <x:v>1</x:v>
      </x:c>
      <x:c r="D148" s="26" t="n">
        <x:v>1</x:v>
      </x:c>
      <x:c r="E148" s="26" t="n">
        <x:v>1</x:v>
      </x:c>
      <x:c r="F148" s="26" t="str">
        <x:v>Unlock</x:v>
      </x:c>
      <x:c r="G148" s="36" t="n">
        <x:f>(D148+E148)/2</x:f>
        <x:v>1</x:v>
      </x:c>
      <x:c r="H148" s="36" t="n">
        <x:f>IF(B148="coins",1,IFERROR(XLOOKUP(B148,'Items Master'!$A:$A,'Items Master'!$J:$J,0),0))</x:f>
        <x:v>900</x:v>
      </x:c>
      <x:c r="I148" s="36" t="n">
        <x:f>C148/100*G148*H148</x:f>
        <x:v>9</x:v>
      </x:c>
    </x:row>
    <x:row r="149" ht="15" hidden="0" customHeight="1">
      <x:c r="A149" s="26" t="str">
        <x:v>grub_bog_horror</x:v>
      </x:c>
      <x:c r="B149" s="26" t="str">
        <x:v>slime_core</x:v>
      </x:c>
      <x:c r="C149" s="36" t="n">
        <x:v>45</x:v>
      </x:c>
      <x:c r="D149" s="26" t="n">
        <x:v>1</x:v>
      </x:c>
      <x:c r="E149" s="26" t="n">
        <x:v>2</x:v>
      </x:c>
      <x:c r="F149" s="26" t="str">
        <x:v>Crafting</x:v>
      </x:c>
      <x:c r="G149" s="36" t="n">
        <x:f>(D149+E149)/2</x:f>
        <x:v>1.5</x:v>
      </x:c>
      <x:c r="H149" s="36" t="n">
        <x:f>IF(B149="coins",1,IFERROR(XLOOKUP(B149,'Items Master'!$A:$A,'Items Master'!$J:$J,0),0))</x:f>
        <x:v>250</x:v>
      </x:c>
      <x:c r="I149" s="36" t="n">
        <x:f>C149/100*G149*H149</x:f>
        <x:v>168.75</x:v>
      </x:c>
    </x:row>
    <x:row r="150" ht="15" hidden="0" customHeight="1">
      <x:c r="A150" s="26" t="str">
        <x:v>grub_bog_horror</x:v>
      </x:c>
      <x:c r="B150" s="26" t="str">
        <x:v>swamp_herb_bundle</x:v>
      </x:c>
      <x:c r="C150" s="36" t="n">
        <x:v>35</x:v>
      </x:c>
      <x:c r="D150" s="26" t="n">
        <x:v>1</x:v>
      </x:c>
      <x:c r="E150" s="26" t="n">
        <x:v>2</x:v>
      </x:c>
      <x:c r="F150" s="26" t="str">
        <x:v>Swamp</x:v>
      </x:c>
      <x:c r="G150" s="36" t="n">
        <x:f>(D150+E150)/2</x:f>
        <x:v>1.5</x:v>
      </x:c>
      <x:c r="H150" s="36" t="n">
        <x:f>IF(B150="coins",1,IFERROR(XLOOKUP(B150,'Items Master'!$A:$A,'Items Master'!$J:$J,0),0))</x:f>
        <x:v>180</x:v>
      </x:c>
      <x:c r="I150" s="36" t="n">
        <x:f>C150/100*G150*H150</x:f>
        <x:v>94.49999999999999</x:v>
      </x:c>
    </x:row>
    <x:row r="151" ht="15" hidden="0" customHeight="1">
      <x:c r="A151" s="26" t="str">
        <x:v>grub_bog_horror</x:v>
      </x:c>
      <x:c r="B151" s="26" t="str">
        <x:v>black_iron_ore</x:v>
      </x:c>
      <x:c r="C151" s="36" t="n">
        <x:v>20</x:v>
      </x:c>
      <x:c r="D151" s="26" t="n">
        <x:v>2</x:v>
      </x:c>
      <x:c r="E151" s="26" t="n">
        <x:v>5</x:v>
      </x:c>
      <x:c r="F151" s="26" t="str">
        <x:v>Smithing</x:v>
      </x:c>
      <x:c r="G151" s="36" t="n">
        <x:f>(D151+E151)/2</x:f>
        <x:v>3.5</x:v>
      </x:c>
      <x:c r="H151" s="36" t="n">
        <x:f>IF(B151="coins",1,IFERROR(XLOOKUP(B151,'Items Master'!$A:$A,'Items Master'!$J:$J,0),0))</x:f>
        <x:v>115</x:v>
      </x:c>
      <x:c r="I151" s="36" t="n">
        <x:f>C151/100*G151*H151</x:f>
        <x:v>80.50000000000001</x:v>
      </x:c>
    </x:row>
    <x:row r="152" ht="15" hidden="0" customHeight="1">
      <x:c r="A152" s="26" t="str">
        <x:v>grub_bog_horror</x:v>
      </x:c>
      <x:c r="B152" s="26" t="str">
        <x:v>raw_grubshark</x:v>
      </x:c>
      <x:c r="C152" s="36" t="n">
        <x:v>15</x:v>
      </x:c>
      <x:c r="D152" s="26" t="n">
        <x:v>1</x:v>
      </x:c>
      <x:c r="E152" s="26" t="n">
        <x:v>2</x:v>
      </x:c>
      <x:c r="F152" s="26" t="str">
        <x:v>Food</x:v>
      </x:c>
      <x:c r="G152" s="36" t="n">
        <x:f>(D152+E152)/2</x:f>
        <x:v>1.5</x:v>
      </x:c>
      <x:c r="H152" s="36" t="n">
        <x:f>IF(B152="coins",1,IFERROR(XLOOKUP(B152,'Items Master'!$A:$A,'Items Master'!$J:$J,0),0))</x:f>
        <x:v>180</x:v>
      </x:c>
      <x:c r="I152" s="36" t="n">
        <x:f>C152/100*G152*H152</x:f>
        <x:v>40.49999999999999</x:v>
      </x:c>
    </x:row>
    <x:row r="153" ht="15" hidden="0" customHeight="1">
      <x:c r="A153" s="26" t="str">
        <x:v>grub_bog_horror</x:v>
      </x:c>
      <x:c r="B153" s="26" t="str">
        <x:v>bog_horror_hide</x:v>
      </x:c>
      <x:c r="C153" s="36" t="n">
        <x:v>8</x:v>
      </x:c>
      <x:c r="D153" s="26" t="n">
        <x:v>1</x:v>
      </x:c>
      <x:c r="E153" s="26" t="n">
        <x:v>2</x:v>
      </x:c>
      <x:c r="F153" s="26" t="str">
        <x:v>Armour</x:v>
      </x:c>
      <x:c r="G153" s="36" t="n">
        <x:f>(D153+E153)/2</x:f>
        <x:v>1.5</x:v>
      </x:c>
      <x:c r="H153" s="36" t="n">
        <x:f>IF(B153="coins",1,IFERROR(XLOOKUP(B153,'Items Master'!$A:$A,'Items Master'!$J:$J,0),0))</x:f>
        <x:v>16</x:v>
      </x:c>
      <x:c r="I153" s="36" t="n">
        <x:f>C153/100*G153*H153</x:f>
        <x:v>1.92</x:v>
      </x:c>
    </x:row>
    <x:row r="154" ht="15" hidden="0" customHeight="1">
      <x:c r="A154" s="26" t="str">
        <x:v>grub_bog_horror</x:v>
      </x:c>
      <x:c r="B154" s="26" t="str">
        <x:v>horror_heart</x:v>
      </x:c>
      <x:c r="C154" s="36" t="n">
        <x:v>2</x:v>
      </x:c>
      <x:c r="D154" s="26" t="n">
        <x:v>1</x:v>
      </x:c>
      <x:c r="E154" s="26" t="n">
        <x:v>1</x:v>
      </x:c>
      <x:c r="F154" s="26" t="str">
        <x:v>Unique</x:v>
      </x:c>
      <x:c r="G154" s="36" t="n">
        <x:f>(D154+E154)/2</x:f>
        <x:v>1</x:v>
      </x:c>
      <x:c r="H154" s="36" t="n">
        <x:f>IF(B154="coins",1,IFERROR(XLOOKUP(B154,'Items Master'!$A:$A,'Items Master'!$J:$J,0),0))</x:f>
        <x:v>1600</x:v>
      </x:c>
      <x:c r="I154" s="36" t="n">
        <x:f>C154/100*G154*H154</x:f>
        <x:v>32</x:v>
      </x:c>
    </x:row>
    <x:row r="155" ht="15" hidden="0" customHeight="1">
      <x:c r="A155" s="26" t="str">
        <x:v>grub_bog_horror</x:v>
      </x:c>
      <x:c r="B155" s="26" t="str">
        <x:v>bog_crown</x:v>
      </x:c>
      <x:c r="C155" s="36" t="n">
        <x:v>0.5</x:v>
      </x:c>
      <x:c r="D155" s="26" t="n">
        <x:v>1</x:v>
      </x:c>
      <x:c r="E155" s="26" t="n">
        <x:v>1</x:v>
      </x:c>
      <x:c r="F155" s="26" t="str">
        <x:v>Cosmetic</x:v>
      </x:c>
      <x:c r="G155" s="36" t="n">
        <x:f>(D155+E155)/2</x:f>
        <x:v>1</x:v>
      </x:c>
      <x:c r="H155" s="36" t="n">
        <x:f>IF(B155="coins",1,IFERROR(XLOOKUP(B155,'Items Master'!$A:$A,'Items Master'!$J:$J,0),0))</x:f>
        <x:v>5000</x:v>
      </x:c>
      <x:c r="I155" s="36" t="n">
        <x:f>C155/100*G155*H155</x:f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e7bfb48b964048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0" t="str">
        <x:v>Monster ID</x:v>
      </x:c>
      <x:c r="B1" s="20" t="str">
        <x:v>Name</x:v>
      </x:c>
      <x:c r="C1" s="20" t="str">
        <x:v>Combat Level</x:v>
      </x:c>
      <x:c r="D1" s="20" t="str">
        <x:v>Region</x:v>
      </x:c>
      <x:c r="E1" s="20" t="str">
        <x:v>Expected GP / Kill</x:v>
      </x:c>
    </x:row>
    <x:row r="2" ht="15" hidden="0" customHeight="1">
      <x:c r="A2" s="26" t="str">
        <x:v>training_rat</x:v>
      </x:c>
      <x:c r="B2" s="26" t="str">
        <x:v>Training Rat</x:v>
      </x:c>
      <x:c r="C2" s="26" t="n">
        <x:v>1</x:v>
      </x:c>
      <x:c r="D2" s="26" t="str">
        <x:v>Town Training Yard</x:v>
      </x:c>
      <x:c r="E2" s="36" t="n">
        <x:f>SUMIFS('Drop Tables'!$I:$I,'Drop Tables'!$A:$A,A2)</x:f>
        <x:v>4.62</x:v>
      </x:c>
    </x:row>
    <x:row r="3" ht="15" hidden="0" customHeight="1">
      <x:c r="A3" s="26" t="str">
        <x:v>cave_bug</x:v>
      </x:c>
      <x:c r="B3" s="26" t="str">
        <x:v>Cave Bug</x:v>
      </x:c>
      <x:c r="C3" s="26" t="n">
        <x:v>3</x:v>
      </x:c>
      <x:c r="D3" s="26" t="str">
        <x:v>Starter Mine</x:v>
      </x:c>
      <x:c r="E3" s="36" t="n">
        <x:f>SUMIFS('Drop Tables'!$I:$I,'Drop Tables'!$A:$A,A3)</x:f>
        <x:v>7.67</x:v>
      </x:c>
    </x:row>
    <x:row r="4" ht="15" hidden="0" customHeight="1">
      <x:c r="A4" s="26" t="str">
        <x:v>mud_grub</x:v>
      </x:c>
      <x:c r="B4" s="26" t="str">
        <x:v>Mud Grub</x:v>
      </x:c>
      <x:c r="C4" s="26" t="n">
        <x:v>4</x:v>
      </x:c>
      <x:c r="D4" s="26" t="str">
        <x:v>River Mud Banks</x:v>
      </x:c>
      <x:c r="E4" s="36" t="n">
        <x:f>SUMIFS('Drop Tables'!$I:$I,'Drop Tables'!$A:$A,A4)</x:f>
        <x:v>77.155</x:v>
      </x:c>
    </x:row>
    <x:row r="5" ht="15" hidden="0" customHeight="1">
      <x:c r="A5" s="26" t="str">
        <x:v>goblin_trainee</x:v>
      </x:c>
      <x:c r="B5" s="26" t="str">
        <x:v>Goblin Trainee</x:v>
      </x:c>
      <x:c r="C5" s="26" t="n">
        <x:v>5</x:v>
      </x:c>
      <x:c r="D5" s="26" t="str">
        <x:v>Training Yard/Roads</x:v>
      </x:c>
      <x:c r="E5" s="36" t="n">
        <x:f>SUMIFS('Drop Tables'!$I:$I,'Drop Tables'!$A:$A,A5)</x:f>
        <x:v>25.505</x:v>
      </x:c>
    </x:row>
    <x:row r="6" ht="15" hidden="0" customHeight="1">
      <x:c r="A6" s="26" t="str">
        <x:v>giant_spider</x:v>
      </x:c>
      <x:c r="B6" s="26" t="str">
        <x:v>Giant Spider</x:v>
      </x:c>
      <x:c r="C6" s="26" t="n">
        <x:v>8</x:v>
      </x:c>
      <x:c r="D6" s="26" t="str">
        <x:v>Beginner Forest</x:v>
      </x:c>
      <x:c r="E6" s="36" t="n">
        <x:f>SUMIFS('Drop Tables'!$I:$I,'Drop Tables'!$A:$A,A6)</x:f>
        <x:v>20.369999999999997</x:v>
      </x:c>
    </x:row>
    <x:row r="7" ht="15" hidden="0" customHeight="1">
      <x:c r="A7" s="26" t="str">
        <x:v>forest_rat</x:v>
      </x:c>
      <x:c r="B7" s="26" t="str">
        <x:v>Forest Rat</x:v>
      </x:c>
      <x:c r="C7" s="26" t="n">
        <x:v>9</x:v>
      </x:c>
      <x:c r="D7" s="26" t="str">
        <x:v>Beginner Forest</x:v>
      </x:c>
      <x:c r="E7" s="36" t="n">
        <x:f>SUMIFS('Drop Tables'!$I:$I,'Drop Tables'!$A:$A,A7)</x:f>
        <x:v>8.03</x:v>
      </x:c>
    </x:row>
    <x:row r="8" ht="15" hidden="0" customHeight="1">
      <x:c r="A8" s="26" t="str">
        <x:v>river_bandit</x:v>
      </x:c>
      <x:c r="B8" s="26" t="str">
        <x:v>River Bandit</x:v>
      </x:c>
      <x:c r="C8" s="26" t="n">
        <x:v>12</x:v>
      </x:c>
      <x:c r="D8" s="26" t="str">
        <x:v>Willow Riverlands</x:v>
      </x:c>
      <x:c r="E8" s="36" t="n">
        <x:f>SUMIFS('Drop Tables'!$I:$I,'Drop Tables'!$A:$A,A8)</x:f>
        <x:v>122.01</x:v>
      </x:c>
    </x:row>
    <x:row r="9" ht="15" hidden="0" customHeight="1">
      <x:c r="A9" s="26" t="str">
        <x:v>mud_bug</x:v>
      </x:c>
      <x:c r="B9" s="26" t="str">
        <x:v>Mud Bug</x:v>
      </x:c>
      <x:c r="C9" s="26" t="n">
        <x:v>13</x:v>
      </x:c>
      <x:c r="D9" s="26" t="str">
        <x:v>Willow Riverlands</x:v>
      </x:c>
      <x:c r="E9" s="36" t="n">
        <x:f>SUMIFS('Drop Tables'!$I:$I,'Drop Tables'!$A:$A,A9)</x:f>
        <x:v>19.294999999999998</x:v>
      </x:c>
    </x:row>
    <x:row r="10" ht="15" hidden="0" customHeight="1">
      <x:c r="A10" s="26" t="str">
        <x:v>crazed_fisher_gob</x:v>
      </x:c>
      <x:c r="B10" s="26" t="str">
        <x:v>Crazed Fisher-Gob</x:v>
      </x:c>
      <x:c r="C10" s="26" t="n">
        <x:v>15</x:v>
      </x:c>
      <x:c r="D10" s="26" t="str">
        <x:v>Grublake Shore</x:v>
      </x:c>
      <x:c r="E10" s="36" t="n">
        <x:f>SUMIFS('Drop Tables'!$I:$I,'Drop Tables'!$A:$A,A10)</x:f>
        <x:v>23.455</x:v>
      </x:c>
    </x:row>
    <x:row r="11" ht="15" hidden="0" customHeight="1">
      <x:c r="A11" s="26" t="str">
        <x:v>oak_boar</x:v>
      </x:c>
      <x:c r="B11" s="26" t="str">
        <x:v>Oak Boar</x:v>
      </x:c>
      <x:c r="C11" s="26" t="n">
        <x:v>18</x:v>
      </x:c>
      <x:c r="D11" s="26" t="str">
        <x:v>Eastern Oakwoods Edge</x:v>
      </x:c>
      <x:c r="E11" s="36" t="n">
        <x:f>SUMIFS('Drop Tables'!$I:$I,'Drop Tables'!$A:$A,A11)</x:f>
        <x:v>29.474999999999998</x:v>
      </x:c>
    </x:row>
    <x:row r="12" ht="15" hidden="0" customHeight="1">
      <x:c r="A12" s="26" t="str">
        <x:v>cave_bat</x:v>
      </x:c>
      <x:c r="B12" s="26" t="str">
        <x:v>Cave Bat</x:v>
      </x:c>
      <x:c r="C12" s="26" t="n">
        <x:v>20</x:v>
      </x:c>
      <x:c r="D12" s="26" t="str">
        <x:v>Deeper Starter Mine</x:v>
      </x:c>
      <x:c r="E12" s="36" t="n">
        <x:f>SUMIFS('Drop Tables'!$I:$I,'Drop Tables'!$A:$A,A12)</x:f>
        <x:v>18.07</x:v>
      </x:c>
    </x:row>
    <x:row r="13" ht="15" hidden="0" customHeight="1">
      <x:c r="A13" s="26" t="str">
        <x:v>iron_rock_crab</x:v>
      </x:c>
      <x:c r="B13" s="26" t="str">
        <x:v>Iron Rock Crab</x:v>
      </x:c>
      <x:c r="C13" s="26" t="n">
        <x:v>24</x:v>
      </x:c>
      <x:c r="D13" s="26" t="str">
        <x:v>Northern Mine Hills</x:v>
      </x:c>
      <x:c r="E13" s="36" t="n">
        <x:f>SUMIFS('Drop Tables'!$I:$I,'Drop Tables'!$A:$A,A13)</x:f>
        <x:v>23.07</x:v>
      </x:c>
    </x:row>
    <x:row r="14" ht="15" hidden="0" customHeight="1">
      <x:c r="A14" s="26" t="str">
        <x:v>moss_wolf</x:v>
      </x:c>
      <x:c r="B14" s="26" t="str">
        <x:v>Moss Wolf</x:v>
      </x:c>
      <x:c r="C14" s="26" t="n">
        <x:v>26</x:v>
      </x:c>
      <x:c r="D14" s="26" t="str">
        <x:v>Eastern Oakwoods</x:v>
      </x:c>
      <x:c r="E14" s="36" t="n">
        <x:f>SUMIFS('Drop Tables'!$I:$I,'Drop Tables'!$A:$A,A14)</x:f>
        <x:v>34.370000000000005</x:v>
      </x:c>
    </x:row>
    <x:row r="15" ht="15" hidden="0" customHeight="1">
      <x:c r="A15" s="26" t="str">
        <x:v>rival_goblin_scout</x:v>
      </x:c>
      <x:c r="B15" s="26" t="str">
        <x:v>Rival Goblin Scout</x:v>
      </x:c>
      <x:c r="C15" s="26" t="n">
        <x:v>28</x:v>
      </x:c>
      <x:c r="D15" s="26" t="str">
        <x:v>Oakwoods/Lake Edge</x:v>
      </x:c>
      <x:c r="E15" s="36" t="n">
        <x:f>SUMIFS('Drop Tables'!$I:$I,'Drop Tables'!$A:$A,A15)</x:f>
        <x:v>36.26</x:v>
      </x:c>
    </x:row>
    <x:row r="16" ht="15" hidden="0" customHeight="1">
      <x:c r="A16" s="26" t="str">
        <x:v>swamp_frog</x:v>
      </x:c>
      <x:c r="B16" s="26" t="str">
        <x:v>Swamp Frog</x:v>
      </x:c>
      <x:c r="C16" s="26" t="n">
        <x:v>30</x:v>
      </x:c>
      <x:c r="D16" s="26" t="str">
        <x:v>Bog Edge</x:v>
      </x:c>
      <x:c r="E16" s="36" t="n">
        <x:f>SUMIFS('Drop Tables'!$I:$I,'Drop Tables'!$A:$A,A16)</x:f>
        <x:v>31.755</x:v>
      </x:c>
    </x:row>
    <x:row r="17" ht="15" hidden="0" customHeight="1">
      <x:c r="A17" s="26" t="str">
        <x:v>bog_rat</x:v>
      </x:c>
      <x:c r="B17" s="26" t="str">
        <x:v>Bog Rat</x:v>
      </x:c>
      <x:c r="C17" s="26" t="n">
        <x:v>32</x:v>
      </x:c>
      <x:c r="D17" s="26" t="str">
        <x:v>Bog of Grub</x:v>
      </x:c>
      <x:c r="E17" s="36" t="n">
        <x:f>SUMIFS('Drop Tables'!$I:$I,'Drop Tables'!$A:$A,A17)</x:f>
        <x:v>18.454999999999995</x:v>
      </x:c>
    </x:row>
    <x:row r="18" ht="15" hidden="0" customHeight="1">
      <x:c r="A18" s="26" t="str">
        <x:v>fungal_goblin</x:v>
      </x:c>
      <x:c r="B18" s="26" t="str">
        <x:v>Fungal Goblin</x:v>
      </x:c>
      <x:c r="C18" s="26" t="n">
        <x:v>34</x:v>
      </x:c>
      <x:c r="D18" s="26" t="str">
        <x:v>Mushroom Forest</x:v>
      </x:c>
      <x:c r="E18" s="36" t="n">
        <x:f>SUMIFS('Drop Tables'!$I:$I,'Drop Tables'!$A:$A,A18)</x:f>
        <x:v>57.21</x:v>
      </x:c>
    </x:row>
    <x:row r="19" ht="15" hidden="0" customHeight="1">
      <x:c r="A19" s="26" t="str">
        <x:v>cave_goblin_miner</x:v>
      </x:c>
      <x:c r="B19" s="26" t="str">
        <x:v>Cave Goblin Miner</x:v>
      </x:c>
      <x:c r="C19" s="26" t="n">
        <x:v>36</x:v>
      </x:c>
      <x:c r="D19" s="26" t="str">
        <x:v>Northern Mine Caves</x:v>
      </x:c>
      <x:c r="E19" s="36" t="n">
        <x:f>SUMIFS('Drop Tables'!$I:$I,'Drop Tables'!$A:$A,A19)</x:f>
        <x:v>47.78</x:v>
      </x:c>
    </x:row>
    <x:row r="20" ht="15" hidden="0" customHeight="1">
      <x:c r="A20" s="26" t="str">
        <x:v>bog_slime</x:v>
      </x:c>
      <x:c r="B20" s="26" t="str">
        <x:v>Bog Slime</x:v>
      </x:c>
      <x:c r="C20" s="26" t="n">
        <x:v>38</x:v>
      </x:c>
      <x:c r="D20" s="26" t="str">
        <x:v>Bog of Grub</x:v>
      </x:c>
      <x:c r="E20" s="36" t="n">
        <x:f>SUMIFS('Drop Tables'!$I:$I,'Drop Tables'!$A:$A,A20)</x:f>
        <x:v>53.625</x:v>
      </x:c>
    </x:row>
    <x:row r="21" ht="15" hidden="0" customHeight="1">
      <x:c r="A21" s="26" t="str">
        <x:v>lake_snapper</x:v>
      </x:c>
      <x:c r="B21" s="26" t="str">
        <x:v>Lake Snapper</x:v>
      </x:c>
      <x:c r="C21" s="26" t="n">
        <x:v>40</x:v>
      </x:c>
      <x:c r="D21" s="26" t="str">
        <x:v>Grublake Deep Shore</x:v>
      </x:c>
      <x:c r="E21" s="36" t="n">
        <x:f>SUMIFS('Drop Tables'!$I:$I,'Drop Tables'!$A:$A,A21)</x:f>
        <x:v>49.82</x:v>
      </x:c>
    </x:row>
    <x:row r="22" ht="15" hidden="0" customHeight="1">
      <x:c r="A22" s="26" t="str">
        <x:v>rival_goblin_warrior</x:v>
      </x:c>
      <x:c r="B22" s="26" t="str">
        <x:v>Rival Goblin Warrior</x:v>
      </x:c>
      <x:c r="C22" s="26" t="n">
        <x:v>42</x:v>
      </x:c>
      <x:c r="D22" s="26" t="str">
        <x:v>Rival Edge</x:v>
      </x:c>
      <x:c r="E22" s="36" t="n">
        <x:f>SUMIFS('Drop Tables'!$I:$I,'Drop Tables'!$A:$A,A22)</x:f>
        <x:v>97</x:v>
      </x:c>
    </x:row>
    <x:row r="23" ht="15" hidden="0" customHeight="1">
      <x:c r="A23" s="26" t="str">
        <x:v>rival_goblin_archer</x:v>
      </x:c>
      <x:c r="B23" s="26" t="str">
        <x:v>Rival Goblin Archer</x:v>
      </x:c>
      <x:c r="C23" s="26" t="n">
        <x:v>44</x:v>
      </x:c>
      <x:c r="D23" s="26" t="str">
        <x:v>Rival Watchtowers</x:v>
      </x:c>
      <x:c r="E23" s="36" t="n">
        <x:f>SUMIFS('Drop Tables'!$I:$I,'Drop Tables'!$A:$A,A23)</x:f>
        <x:v>102.205</x:v>
      </x:c>
    </x:row>
    <x:row r="24" ht="15" hidden="0" customHeight="1">
      <x:c r="A24" s="26" t="str">
        <x:v>deep_cave_crawler</x:v>
      </x:c>
      <x:c r="B24" s="26" t="str">
        <x:v>Deep Cave Crawler</x:v>
      </x:c>
      <x:c r="C24" s="26" t="n">
        <x:v>46</x:v>
      </x:c>
      <x:c r="D24" s="26" t="str">
        <x:v>Deep Mine</x:v>
      </x:c>
      <x:c r="E24" s="36" t="n">
        <x:f>SUMIFS('Drop Tables'!$I:$I,'Drop Tables'!$A:$A,A24)</x:f>
        <x:v>66.775</x:v>
      </x:c>
    </x:row>
    <x:row r="25" ht="15" hidden="0" customHeight="1">
      <x:c r="A25" s="26" t="str">
        <x:v>black_iron_crab</x:v>
      </x:c>
      <x:c r="B25" s="26" t="str">
        <x:v>Black Iron Crab</x:v>
      </x:c>
      <x:c r="C25" s="26" t="n">
        <x:v>50</x:v>
      </x:c>
      <x:c r="D25" s="26" t="str">
        <x:v>Deep Mine/Troll Edge</x:v>
      </x:c>
      <x:c r="E25" s="36" t="n">
        <x:f>SUMIFS('Drop Tables'!$I:$I,'Drop Tables'!$A:$A,A25)</x:f>
        <x:v>125.5</x:v>
      </x:c>
    </x:row>
    <x:row r="26" ht="15" hidden="0" customHeight="1">
      <x:c r="A26" s="26" t="str">
        <x:v>swamp_shaman</x:v>
      </x:c>
      <x:c r="B26" s="26" t="str">
        <x:v>Swamp Shaman</x:v>
      </x:c>
      <x:c r="C26" s="26" t="n">
        <x:v>52</x:v>
      </x:c>
      <x:c r="D26" s="26" t="str">
        <x:v>Bog Shrine/Rival Swamp</x:v>
      </x:c>
      <x:c r="E26" s="36" t="n">
        <x:f>SUMIFS('Drop Tables'!$I:$I,'Drop Tables'!$A:$A,A26)</x:f>
        <x:v>106.53</x:v>
      </x:c>
    </x:row>
    <x:row r="27" ht="15" hidden="0" customHeight="1">
      <x:c r="A27" s="26" t="str">
        <x:v>rival_goblin_brute</x:v>
      </x:c>
      <x:c r="B27" s="26" t="str">
        <x:v>Rival Goblin Brute</x:v>
      </x:c>
      <x:c r="C27" s="26" t="n">
        <x:v>55</x:v>
      </x:c>
      <x:c r="D27" s="26" t="str">
        <x:v>Rival Camp</x:v>
      </x:c>
      <x:c r="E27" s="36" t="n">
        <x:f>SUMIFS('Drop Tables'!$I:$I,'Drop Tables'!$A:$A,A27)</x:f>
        <x:v>161.475</x:v>
      </x:c>
    </x:row>
    <x:row r="28" ht="15" hidden="0" customHeight="1">
      <x:c r="A28" s="26" t="str">
        <x:v>troll_whelp</x:v>
      </x:c>
      <x:c r="B28" s="26" t="str">
        <x:v>Troll Whelp</x:v>
      </x:c>
      <x:c r="C28" s="26" t="n">
        <x:v>58</x:v>
      </x:c>
      <x:c r="D28" s="26" t="str">
        <x:v>Troll Ridge Lower Path</x:v>
      </x:c>
      <x:c r="E28" s="36" t="n">
        <x:f>SUMIFS('Drop Tables'!$I:$I,'Drop Tables'!$A:$A,A28)</x:f>
        <x:v>71.325</x:v>
      </x:c>
    </x:row>
    <x:row r="29" ht="15" hidden="0" customHeight="1">
      <x:c r="A29" s="26" t="str">
        <x:v>red_ear_captain</x:v>
      </x:c>
      <x:c r="B29" s="26" t="str">
        <x:v>Red-Ear Captain</x:v>
      </x:c>
      <x:c r="C29" s="26" t="n">
        <x:v>62</x:v>
      </x:c>
      <x:c r="D29" s="26" t="str">
        <x:v>Rival Camp Boss</x:v>
      </x:c>
      <x:c r="E29" s="36" t="n">
        <x:f>SUMIFS('Drop Tables'!$I:$I,'Drop Tables'!$A:$A,A29)</x:f>
        <x:v>368.7</x:v>
      </x:c>
    </x:row>
    <x:row r="30" ht="15" hidden="0" customHeight="1">
      <x:c r="A30" s="26" t="str">
        <x:v>cave_troll</x:v>
      </x:c>
      <x:c r="B30" s="26" t="str">
        <x:v>Cave Troll</x:v>
      </x:c>
      <x:c r="C30" s="26" t="n">
        <x:v>68</x:v>
      </x:c>
      <x:c r="D30" s="26" t="str">
        <x:v>Troll Ridge Caves</x:v>
      </x:c>
      <x:c r="E30" s="36" t="n">
        <x:f>SUMIFS('Drop Tables'!$I:$I,'Drop Tables'!$A:$A,A30)</x:f>
        <x:v>130.32999999999998</x:v>
      </x:c>
    </x:row>
    <x:row r="31" ht="15" hidden="0" customHeight="1">
      <x:c r="A31" s="26" t="str">
        <x:v>grub_bog_horror</x:v>
      </x:c>
      <x:c r="B31" s="26" t="str">
        <x:v>Grub Bog Horror</x:v>
      </x:c>
      <x:c r="C31" s="26" t="n">
        <x:v>75</x:v>
      </x:c>
      <x:c r="D31" s="26" t="str">
        <x:v>Deep Bog Boss</x:v>
      </x:c>
      <x:c r="E31" s="36" t="n">
        <x:f>SUMIFS('Drop Tables'!$I:$I,'Drop Tables'!$A:$A,A31)</x:f>
        <x:v>443.17</x:v>
      </x:c>
    </x:row>
  </x:sheetData>
  <x:pageMargins left="0.7" right="0.7" top="0.75" bottom="0.75" header="0.3" footer="0.3"/>
  <x:tableParts count="1">
    <x:tablePart xmlns:r="http://schemas.openxmlformats.org/officeDocument/2006/relationships" r:id="R708ea88a006042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 ht="15" hidden="0" customHeight="1">
      <x:c r="A1" s="20" t="str">
        <x:v>Shop</x:v>
      </x:c>
      <x:c r="B1" s="20" t="str">
        <x:v>Region</x:v>
      </x:c>
      <x:c r="C1" s="20" t="str">
        <x:v>Item ID</x:v>
      </x:c>
      <x:c r="D1" s="20" t="str">
        <x:v>Base Stock GP</x:v>
      </x:c>
      <x:c r="E1" s="20" t="str">
        <x:v>Buy Multiplier</x:v>
      </x:c>
      <x:c r="F1" s="20" t="str">
        <x:v>Sell Multiplier</x:v>
      </x:c>
      <x:c r="G1" s="20" t="str">
        <x:v>Unlock</x:v>
      </x:c>
      <x:c r="H1" s="20" t="str">
        <x:v>Purpose</x:v>
      </x:c>
    </x:row>
    <x:row r="2" ht="15" hidden="0" customHeight="1">
      <x:c r="A2" s="26" t="str">
        <x:v>General Store</x:v>
      </x:c>
      <x:c r="B2" s="26" t="str">
        <x:v>Goblin Settlement</x:v>
      </x:c>
      <x:c r="C2" s="26" t="str">
        <x:v>small_net</x:v>
      </x:c>
      <x:c r="D2" s="26" t="n">
        <x:v>10</x:v>
      </x:c>
      <x:c r="E2" s="26" t="n">
        <x:v>1.2</x:v>
      </x:c>
      <x:c r="F2" s="26" t="n">
        <x:v>0.45</x:v>
      </x:c>
      <x:c r="G2" s="26" t="str">
        <x:v>Always</x:v>
      </x:c>
      <x:c r="H2" s="26" t="str">
        <x:v>Basic access item</x:v>
      </x:c>
    </x:row>
    <x:row r="3" ht="15" hidden="0" customHeight="1">
      <x:c r="A3" s="26" t="str">
        <x:v>General Store</x:v>
      </x:c>
      <x:c r="B3" s="26" t="str">
        <x:v>Goblin Settlement</x:v>
      </x:c>
      <x:c r="C3" s="26" t="str">
        <x:v>fishing_rod</x:v>
      </x:c>
      <x:c r="D3" s="26" t="n">
        <x:v>35</x:v>
      </x:c>
      <x:c r="E3" s="26" t="n">
        <x:v>1.2</x:v>
      </x:c>
      <x:c r="F3" s="26" t="n">
        <x:v>0.45</x:v>
      </x:c>
      <x:c r="G3" s="26" t="str">
        <x:v>Fishing 10 or quest</x:v>
      </x:c>
      <x:c r="H3" s="26" t="str">
        <x:v>Rod unlock</x:v>
      </x:c>
    </x:row>
    <x:row r="4" ht="15" hidden="0" customHeight="1">
      <x:c r="A4" s="26" t="str">
        <x:v>General Store</x:v>
      </x:c>
      <x:c r="B4" s="26" t="str">
        <x:v>Goblin Settlement</x:v>
      </x:c>
      <x:c r="C4" s="26" t="str">
        <x:v>fishing_bait</x:v>
      </x:c>
      <x:c r="D4" s="26" t="n">
        <x:v>2</x:v>
      </x:c>
      <x:c r="E4" s="26" t="n">
        <x:v>1.5</x:v>
      </x:c>
      <x:c r="F4" s="26" t="n">
        <x:v>0.2</x:v>
      </x:c>
      <x:c r="G4" s="26" t="str">
        <x:v>Always</x:v>
      </x:c>
      <x:c r="H4" s="26" t="str">
        <x:v>Ammo-like sink</x:v>
      </x:c>
    </x:row>
    <x:row r="5" ht="15" hidden="0" customHeight="1">
      <x:c r="A5" s="26" t="str">
        <x:v>General Store</x:v>
      </x:c>
      <x:c r="B5" s="26" t="str">
        <x:v>Goblin Settlement</x:v>
      </x:c>
      <x:c r="C5" s="26" t="str">
        <x:v>clay_bowl</x:v>
      </x:c>
      <x:c r="D5" s="26" t="n">
        <x:v>8</x:v>
      </x:c>
      <x:c r="E5" s="26" t="n">
        <x:v>1.3</x:v>
      </x:c>
      <x:c r="F5" s="26" t="n">
        <x:v>0.35</x:v>
      </x:c>
      <x:c r="G5" s="26" t="str">
        <x:v>Cooking quest</x:v>
      </x:c>
      <x:c r="H5" s="26" t="str">
        <x:v>Stew container</x:v>
      </x:c>
    </x:row>
    <x:row r="6" ht="15" hidden="0" customHeight="1">
      <x:c r="A6" s="26" t="str">
        <x:v>Tool Stall</x:v>
      </x:c>
      <x:c r="B6" s="26" t="str">
        <x:v>Goblin Settlement</x:v>
      </x:c>
      <x:c r="C6" s="26" t="str">
        <x:v>crude_hatchet</x:v>
      </x:c>
      <x:c r="D6" s="26" t="n">
        <x:v>8</x:v>
      </x:c>
      <x:c r="E6" s="26" t="n">
        <x:v>1.1</x:v>
      </x:c>
      <x:c r="F6" s="26" t="n">
        <x:v>0.35</x:v>
      </x:c>
      <x:c r="G6" s="26" t="str">
        <x:v>Always</x:v>
      </x:c>
      <x:c r="H6" s="26" t="str">
        <x:v>Starter woodcutting</x:v>
      </x:c>
    </x:row>
    <x:row r="7" ht="15" hidden="0" customHeight="1">
      <x:c r="A7" s="26" t="str">
        <x:v>Tool Stall</x:v>
      </x:c>
      <x:c r="B7" s="26" t="str">
        <x:v>Goblin Settlement</x:v>
      </x:c>
      <x:c r="C7" s="26" t="str">
        <x:v>crude_pickaxe</x:v>
      </x:c>
      <x:c r="D7" s="26" t="n">
        <x:v>8</x:v>
      </x:c>
      <x:c r="E7" s="26" t="n">
        <x:v>1.1</x:v>
      </x:c>
      <x:c r="F7" s="26" t="n">
        <x:v>0.35</x:v>
      </x:c>
      <x:c r="G7" s="26" t="str">
        <x:v>Always</x:v>
      </x:c>
      <x:c r="H7" s="26" t="str">
        <x:v>Starter mining</x:v>
      </x:c>
    </x:row>
    <x:row r="8" ht="15" hidden="0" customHeight="1">
      <x:c r="A8" s="26" t="str">
        <x:v>Weapon Shop</x:v>
      </x:c>
      <x:c r="B8" s="26" t="str">
        <x:v>Goblin Settlement</x:v>
      </x:c>
      <x:c r="C8" s="26" t="str">
        <x:v>bronze_dagger</x:v>
      </x:c>
      <x:c r="D8" s="26" t="n">
        <x:v>30</x:v>
      </x:c>
      <x:c r="E8" s="26" t="n">
        <x:v>1.35</x:v>
      </x:c>
      <x:c r="F8" s="26" t="n">
        <x:v>0.5</x:v>
      </x:c>
      <x:c r="G8" s="26" t="str">
        <x:v>Attack 5</x:v>
      </x:c>
      <x:c r="H8" s="26" t="str">
        <x:v>Starter weapon purchase</x:v>
      </x:c>
    </x:row>
    <x:row r="9" ht="15" hidden="0" customHeight="1">
      <x:c r="A9" s="26" t="str">
        <x:v>Weapon Shop</x:v>
      </x:c>
      <x:c r="B9" s="26" t="str">
        <x:v>Goblin Settlement</x:v>
      </x:c>
      <x:c r="C9" s="26" t="str">
        <x:v>bronze_spear</x:v>
      </x:c>
      <x:c r="D9" s="26" t="n">
        <x:v>55</x:v>
      </x:c>
      <x:c r="E9" s="26" t="n">
        <x:v>1.35</x:v>
      </x:c>
      <x:c r="F9" s="26" t="n">
        <x:v>0.5</x:v>
      </x:c>
      <x:c r="G9" s="26" t="str">
        <x:v>Attack 10</x:v>
      </x:c>
      <x:c r="H9" s="26" t="str">
        <x:v>Goblin theme weapon</x:v>
      </x:c>
    </x:row>
    <x:row r="10" ht="15" hidden="0" customHeight="1">
      <x:c r="A10" s="26" t="str">
        <x:v>Armour Shop</x:v>
      </x:c>
      <x:c r="B10" s="26" t="str">
        <x:v>Goblin Settlement</x:v>
      </x:c>
      <x:c r="C10" s="26" t="str">
        <x:v>leather_gloves</x:v>
      </x:c>
      <x:c r="D10" s="26" t="n">
        <x:v>45</x:v>
      </x:c>
      <x:c r="E10" s="26" t="n">
        <x:v>1.3</x:v>
      </x:c>
      <x:c r="F10" s="26" t="n">
        <x:v>0.5</x:v>
      </x:c>
      <x:c r="G10" s="26" t="str">
        <x:v>Defence 5</x:v>
      </x:c>
      <x:c r="H10" s="26" t="str">
        <x:v>Light armour</x:v>
      </x:c>
    </x:row>
    <x:row r="11" ht="15" hidden="0" customHeight="1">
      <x:c r="A11" s="26" t="str">
        <x:v>Armour Shop</x:v>
      </x:c>
      <x:c r="B11" s="26" t="str">
        <x:v>Goblin Settlement</x:v>
      </x:c>
      <x:c r="C11" s="26" t="str">
        <x:v>bronze_shield</x:v>
      </x:c>
      <x:c r="D11" s="26" t="n">
        <x:v>70</x:v>
      </x:c>
      <x:c r="E11" s="26" t="n">
        <x:v>1.35</x:v>
      </x:c>
      <x:c r="F11" s="26" t="n">
        <x:v>0.5</x:v>
      </x:c>
      <x:c r="G11" s="26" t="str">
        <x:v>Defence 15</x:v>
      </x:c>
      <x:c r="H11" s="26" t="str">
        <x:v>Early defence</x:v>
      </x:c>
    </x:row>
    <x:row r="12" ht="15" hidden="0" customHeight="1">
      <x:c r="A12" s="26" t="str">
        <x:v>Fishing Shack</x:v>
      </x:c>
      <x:c r="B12" s="26" t="str">
        <x:v>Grublake</x:v>
      </x:c>
      <x:c r="C12" s="26" t="str">
        <x:v>harpoon</x:v>
      </x:c>
      <x:c r="D12" s="26" t="n">
        <x:v>90</x:v>
      </x:c>
      <x:c r="E12" s="26" t="n">
        <x:v>1.4</x:v>
      </x:c>
      <x:c r="F12" s="26" t="n">
        <x:v>0.45</x:v>
      </x:c>
      <x:c r="G12" s="26" t="str">
        <x:v>Dock repaired</x:v>
      </x:c>
      <x:c r="H12" s="26" t="str">
        <x:v>Pike unlock</x:v>
      </x:c>
    </x:row>
    <x:row r="13" ht="15" hidden="0" customHeight="1">
      <x:c r="A13" s="26" t="str">
        <x:v>Fishing Shack</x:v>
      </x:c>
      <x:c r="B13" s="26" t="str">
        <x:v>Bog Edge</x:v>
      </x:c>
      <x:c r="C13" s="26" t="str">
        <x:v>fishing_cage</x:v>
      </x:c>
      <x:c r="D13" s="26" t="n">
        <x:v>180</x:v>
      </x:c>
      <x:c r="E13" s="26" t="n">
        <x:v>1.45</x:v>
      </x:c>
      <x:c r="F13" s="26" t="n">
        <x:v>0.45</x:v>
      </x:c>
      <x:c r="G13" s="26" t="str">
        <x:v>Swamp shrine started</x:v>
      </x:c>
      <x:c r="H13" s="26" t="str">
        <x:v>Bog eel unlock</x:v>
      </x:c>
    </x:row>
    <x:row r="14" ht="15" hidden="0" customHeight="1">
      <x:c r="A14" s="26" t="str">
        <x:v>Mining Camp</x:v>
      </x:c>
      <x:c r="B14" s="26" t="str">
        <x:v>Northern Mine Hills</x:v>
      </x:c>
      <x:c r="C14" s="26" t="str">
        <x:v>iron_pickaxe</x:v>
      </x:c>
      <x:c r="D14" s="26" t="n">
        <x:v>95</x:v>
      </x:c>
      <x:c r="E14" s="26" t="n">
        <x:v>1.4</x:v>
      </x:c>
      <x:c r="F14" s="26" t="n">
        <x:v>0.45</x:v>
      </x:c>
      <x:c r="G14" s="26" t="str">
        <x:v>Mining 15</x:v>
      </x:c>
      <x:c r="H14" s="26" t="str">
        <x:v>Mining route upgrade</x:v>
      </x:c>
    </x:row>
    <x:row r="15" ht="15" hidden="0" customHeight="1">
      <x:c r="A15" s="26" t="str">
        <x:v>Mining Camp</x:v>
      </x:c>
      <x:c r="B15" s="26" t="str">
        <x:v>Northern Mine Hills</x:v>
      </x:c>
      <x:c r="C15" s="26" t="str">
        <x:v>steel_pickaxe</x:v>
      </x:c>
      <x:c r="D15" s="26" t="n">
        <x:v>240</x:v>
      </x:c>
      <x:c r="E15" s="26" t="n">
        <x:v>1.45</x:v>
      </x:c>
      <x:c r="F15" s="26" t="n">
        <x:v>0.45</x:v>
      </x:c>
      <x:c r="G15" s="26" t="str">
        <x:v>Mining 35 + cart quest</x:v>
      </x:c>
      <x:c r="H15" s="26" t="str">
        <x:v>Serious upgrade</x:v>
      </x:c>
    </x:row>
    <x:row r="16" ht="15" hidden="0" customHeight="1">
      <x:c r="A16" s="26" t="str">
        <x:v>Hunter Camp</x:v>
      </x:c>
      <x:c r="B16" s="26" t="str">
        <x:v>Eastern Oakwoods</x:v>
      </x:c>
      <x:c r="C16" s="26" t="str">
        <x:v>oak_bow</x:v>
      </x:c>
      <x:c r="D16" s="26" t="n">
        <x:v>100</x:v>
      </x:c>
      <x:c r="E16" s="26" t="n">
        <x:v>1.4</x:v>
      </x:c>
      <x:c r="F16" s="26" t="n">
        <x:v>0.45</x:v>
      </x:c>
      <x:c r="G16" s="26" t="str">
        <x:v>Ranged 15</x:v>
      </x:c>
      <x:c r="H16" s="26" t="str">
        <x:v>Ranged access</x:v>
      </x:c>
    </x:row>
    <x:row r="17" ht="15" hidden="0" customHeight="1">
      <x:c r="A17" s="26" t="str">
        <x:v>Witch-Gob Hut</x:v>
      </x:c>
      <x:c r="B17" s="26" t="str">
        <x:v>Mushroom Forest</x:v>
      </x:c>
      <x:c r="C17" s="26" t="str">
        <x:v>goblin_charm</x:v>
      </x:c>
      <x:c r="D17" s="26" t="n">
        <x:v>0</x:v>
      </x:c>
      <x:c r="E17" s="26" t="n">
        <x:v>0</x:v>
      </x:c>
      <x:c r="F17" s="26" t="n">
        <x:v>0</x:v>
      </x:c>
      <x:c r="G17" s="26" t="str">
        <x:v>Quest reward only</x:v>
      </x:c>
      <x:c r="H17" s="26" t="str">
        <x:v>Swamp progression item</x:v>
      </x:c>
    </x:row>
  </x:sheetData>
  <x:pageMargins left="0.7" right="0.7" top="0.75" bottom="0.75" header="0.3" footer="0.3"/>
  <x:tableParts count="1">
    <x:tablePart xmlns:r="http://schemas.openxmlformats.org/officeDocument/2006/relationships" r:id="R21f7a2290cf845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0" t="str">
        <x:v>Loop</x:v>
      </x:c>
      <x:c r="B1" s="20" t="str">
        <x:v>Skill Web</x:v>
      </x:c>
      <x:c r="C1" s="20" t="str">
        <x:v>Steps</x:v>
      </x:c>
      <x:c r="D1" s="20" t="str">
        <x:v>Key Items</x:v>
      </x:c>
      <x:c r="E1" s="20" t="str">
        <x:v>Why It Matters</x:v>
      </x:c>
    </x:row>
    <x:row r="2" ht="15" hidden="0" customHeight="1">
      <x:c r="A2" s="26" t="str">
        <x:v>Bronze Starter Loop</x:v>
      </x:c>
      <x:c r="B2" s="26" t="str">
        <x:v>Mining + Smithing + Combat</x:v>
      </x:c>
      <x:c r="C2" s="26" t="str">
        <x:v>Mine copper/tin -&gt; smelt bronze -&gt; smith spear -&gt; fight rats/cave bugs</x:v>
      </x:c>
      <x:c r="D2" s="26" t="str">
        <x:v>copper_ore, tin_ore, bronze_bar, bronze_spear</x:v>
      </x:c>
      <x:c r="E2" s="26" t="str">
        <x:v>Unlocks safe combat and first cave confidence</x:v>
      </x:c>
    </x:row>
    <x:row r="3" ht="15" hidden="0" customHeight="1">
      <x:c r="A3" s="26" t="str">
        <x:v>First Food Loop</x:v>
      </x:c>
      <x:c r="B3" s="26" t="str">
        <x:v>Fishing + Cooking + Combat</x:v>
      </x:c>
      <x:c r="C3" s="26" t="str">
        <x:v>Catch shrimp/trout -&gt; cook -&gt; fight longer -&gt; collect monster materials</x:v>
      </x:c>
      <x:c r="D3" s="26" t="str">
        <x:v>raw_fish, cooked_food, rat_meat, bones</x:v>
      </x:c>
      <x:c r="E3" s="26" t="str">
        <x:v>Food becomes combat fuel</x:v>
      </x:c>
    </x:row>
    <x:row r="4" ht="15" hidden="0" customHeight="1">
      <x:c r="A4" s="26" t="str">
        <x:v>Bow Loop</x:v>
      </x:c>
      <x:c r="B4" s="26" t="str">
        <x:v>Woodcutting + Crafting + Smithing + Ranged</x:v>
      </x:c>
      <x:c r="C4" s="26" t="str">
        <x:v>Chop logs -&gt; kill spiders for silk -&gt; craft bowstring/bow -&gt; smith arrows -&gt; use ranged</x:v>
      </x:c>
      <x:c r="D4" s="26" t="str">
        <x:v>logs, spider_silk, bars, arrows</x:v>
      </x:c>
      <x:c r="E4" s="26" t="str">
        <x:v>Prevents ranged from being siloed</x:v>
      </x:c>
    </x:row>
    <x:row r="5" ht="15" hidden="0" customHeight="1">
      <x:c r="A5" s="26" t="str">
        <x:v>Bridge Repair Loop</x:v>
      </x:c>
      <x:c r="B5" s="26" t="str">
        <x:v>Woodcutting + Mining + Smithing + Quest</x:v>
      </x:c>
      <x:c r="C5" s="26" t="str">
        <x:v>Chop oak -&gt; mine iron -&gt; smith nails -&gt; repair west bridge</x:v>
      </x:c>
      <x:c r="D5" s="26" t="str">
        <x:v>oak_logs, iron_bar, iron_nails</x:v>
      </x:c>
      <x:c r="E5" s="26" t="str">
        <x:v>Unlocks Willow Riverlands shortcut</x:v>
      </x:c>
    </x:row>
    <x:row r="6" ht="15" hidden="0" customHeight="1">
      <x:c r="A6" s="26" t="str">
        <x:v>Swamp Prep Loop</x:v>
      </x:c>
      <x:c r="B6" s="26" t="str">
        <x:v>Fishing + Cooking + Woodcutting + Crafting</x:v>
      </x:c>
      <x:c r="C6" s="26" t="str">
        <x:v>Catch bog eel -&gt; gather swamp herb/deadwood -&gt; cook stew -&gt; craft charm</x:v>
      </x:c>
      <x:c r="D6" s="26" t="str">
        <x:v>bog_eel, swamp_herb, deadwood_logs, goblin_charm</x:v>
      </x:c>
      <x:c r="E6" s="26" t="str">
        <x:v>Turns swamp into multi-skill gate</x:v>
      </x:c>
    </x:row>
    <x:row r="7" ht="15" hidden="0" customHeight="1">
      <x:c r="A7" s="26" t="str">
        <x:v>Rival Camp Loop</x:v>
      </x:c>
      <x:c r="B7" s="26" t="str">
        <x:v>Mining + Smithing + Cooking + Combat</x:v>
      </x:c>
      <x:c r="C7" s="26" t="str">
        <x:v>Make steel/black gear -&gt; cook war food -&gt; fight rival goblins -&gt; craft uniques</x:v>
      </x:c>
      <x:c r="D7" s="26" t="str">
        <x:v>steel_bar, black_iron_bar, war_feast, rival drops</x:v>
      </x:c>
      <x:c r="E7" s="26" t="str">
        <x:v>First major combat economy loop</x:v>
      </x:c>
    </x:row>
    <x:row r="8" ht="15" hidden="0" customHeight="1">
      <x:c r="A8" s="26" t="str">
        <x:v>Mining Expedition Loop</x:v>
      </x:c>
      <x:c r="B8" s="26" t="str">
        <x:v>Fishing + Cooking + Mining + Defence</x:v>
      </x:c>
      <x:c r="C8" s="26" t="str">
        <x:v>Cook cavefish -&gt; wear shield/armour -&gt; mine coal/gold deeper -&gt; return via cart</x:v>
      </x:c>
      <x:c r="D8" s="26" t="str">
        <x:v>cavefish_roast, armour, coal, gold</x:v>
      </x:c>
      <x:c r="E8" s="26" t="str">
        <x:v>Remote skilling requires prep</x:v>
      </x:c>
    </x:row>
    <x:row r="9" ht="15" hidden="0" customHeight="1">
      <x:c r="A9" s="26" t="str">
        <x:v>Jewelry Utility Loop</x:v>
      </x:c>
      <x:c r="B9" s="26" t="str">
        <x:v>Mining + Crafting + Combat</x:v>
      </x:c>
      <x:c r="C9" s="26" t="str">
        <x:v>Mine gold/gems -&gt; craft ring/amulet -&gt; improve gathering/combat -&gt; farm rarer drops</x:v>
      </x:c>
      <x:c r="D9" s="26" t="str">
        <x:v>gold_bar, uncut_gem, gem_ring, bone_amulet</x:v>
      </x:c>
      <x:c r="E9" s="26" t="str">
        <x:v>Makes crafting provide utility</x:v>
      </x:c>
    </x:row>
  </x:sheetData>
  <x:pageMargins left="0.7" right="0.7" top="0.75" bottom="0.75" header="0.3" footer="0.3"/>
  <x:tableParts count="1">
    <x:tablePart xmlns:r="http://schemas.openxmlformats.org/officeDocument/2006/relationships" r:id="Re9a3037bf8f64d5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5" hidden="0" customHeight="1">
      <x:c r="A1" s="20" t="str">
        <x:v>Region</x:v>
      </x:c>
      <x:c r="B1" s="20" t="str">
        <x:v>Level Range</x:v>
      </x:c>
      <x:c r="C1" s="20" t="str">
        <x:v>Resource Philosophy</x:v>
      </x:c>
      <x:c r="D1" s="20" t="str">
        <x:v>Resources</x:v>
      </x:c>
      <x:c r="E1" s="20" t="str">
        <x:v>Monsters</x:v>
      </x:c>
      <x:c r="F1" s="20" t="str">
        <x:v>Infrastructure</x:v>
      </x:c>
      <x:c r="G1" s="20" t="str">
        <x:v>Design Purpose</x:v>
      </x:c>
    </x:row>
    <x:row r="2" ht="15" hidden="0" customHeight="1">
      <x:c r="A2" s="26" t="str">
        <x:v>Goblin Settlement</x:v>
      </x:c>
      <x:c r="B2" s="26" t="str">
        <x:v>1-10</x:v>
      </x:c>
      <x:c r="C2" s="26" t="str">
        <x:v>Teaser sampler</x:v>
      </x:c>
      <x:c r="D2" s="26" t="str">
        <x:v>Normal trees, shrimp, copper/tin, 1 oak, 1 iron, farms</x:v>
      </x:c>
      <x:c r="E2" s="26" t="str">
        <x:v>Training Rat, Goblin Trainee</x:v>
      </x:c>
      <x:c r="F2" s="26" t="str">
        <x:v>Bank, shops, furnace, anvil, range, crafting bench</x:v>
      </x:c>
      <x:c r="G2" s="26" t="str">
        <x:v>Player learns all loops without long travel</x:v>
      </x:c>
    </x:row>
    <x:row r="3" ht="15" hidden="0" customHeight="1">
      <x:c r="A3" s="26" t="str">
        <x:v>Chopper Hollow</x:v>
      </x:c>
      <x:c r="B3" s="26" t="str">
        <x:v>1-20</x:v>
      </x:c>
      <x:c r="C3" s="26" t="str">
        <x:v>Woodcutting training</x:v>
      </x:c>
      <x:c r="D3" s="26" t="str">
        <x:v>Normal trees, oak clusters, mushrooms</x:v>
      </x:c>
      <x:c r="E3" s="26" t="str">
        <x:v>Forest Rat, Giant Spider</x:v>
      </x:c>
      <x:c r="F3" s="26" t="str">
        <x:v>Woodcutting camp, sawpit</x:v>
      </x:c>
      <x:c r="G3" s="26" t="str">
        <x:v>Oak and bow materials begin here</x:v>
      </x:c>
    </x:row>
    <x:row r="4" ht="15" hidden="0" customHeight="1">
      <x:c r="A4" s="26" t="str">
        <x:v>Willow Riverlands</x:v>
      </x:c>
      <x:c r="B4" s="26" t="str">
        <x:v>10-30</x:v>
      </x:c>
      <x:c r="C4" s="26" t="str">
        <x:v>Fishing/Willow specialist</x:v>
      </x:c>
      <x:c r="D4" s="26" t="str">
        <x:v>Willow trees, trout, river eel, reeds, clay</x:v>
      </x:c>
      <x:c r="E4" s="26" t="str">
        <x:v>River Bandit, Mud Bug</x:v>
      </x:c>
      <x:c r="F4" s="26" t="str">
        <x:v>Broken bridge, bait seller</x:v>
      </x:c>
      <x:c r="G4" s="26" t="str">
        <x:v>Regional reason for willow/trout travel</x:v>
      </x:c>
    </x:row>
    <x:row r="5" ht="15" hidden="0" customHeight="1">
      <x:c r="A5" s="26" t="str">
        <x:v>Main Farmlands</x:v>
      </x:c>
      <x:c r="B5" s="26" t="str">
        <x:v>1-30</x:v>
      </x:c>
      <x:c r="C5" s="26" t="str">
        <x:v>Farming/cooking support</x:v>
      </x:c>
      <x:c r="D5" s="26" t="str">
        <x:v>Potatoes, cabbage, onions, herbs</x:v>
      </x:c>
      <x:c r="E5" s="26" t="str">
        <x:v>Crows, Rats, Crop Bugs</x:v>
      </x:c>
      <x:c r="F5" s="26" t="str">
        <x:v>Tool shed, compost, water source</x:v>
      </x:c>
      <x:c r="G5" s="26" t="str">
        <x:v>Feeds stews and quest materials</x:v>
      </x:c>
    </x:row>
    <x:row r="6" ht="15" hidden="0" customHeight="1">
      <x:c r="A6" s="26" t="str">
        <x:v>Grublake</x:v>
      </x:c>
      <x:c r="B6" s="26" t="str">
        <x:v>15-45</x:v>
      </x:c>
      <x:c r="C6" s="26" t="str">
        <x:v>Fishing hub</x:v>
      </x:c>
      <x:c r="D6" s="26" t="str">
        <x:v>Pike, carp, willow, water herbs</x:v>
      </x:c>
      <x:c r="E6" s="26" t="str">
        <x:v>Crazed Fisher-Gob, Lake Snapper</x:v>
      </x:c>
      <x:c r="F6" s="26" t="str">
        <x:v>Dock, boat, lake island</x:v>
      </x:c>
      <x:c r="G6" s="26" t="str">
        <x:v>Best pike/carp density and boat unlock</x:v>
      </x:c>
    </x:row>
    <x:row r="7" ht="15" hidden="0" customHeight="1">
      <x:c r="A7" s="26" t="str">
        <x:v>Eastern Oakwoods</x:v>
      </x:c>
      <x:c r="B7" s="26" t="str">
        <x:v>20-50</x:v>
      </x:c>
      <x:c r="C7" s="26" t="str">
        <x:v>Oak/combat/hunter zone</x:v>
      </x:c>
      <x:c r="D7" s="26" t="str">
        <x:v>Oak, dense oak, berries, hides</x:v>
      </x:c>
      <x:c r="E7" s="26" t="str">
        <x:v>Oak Boar, Moss Wolf, Rival Scout</x:v>
      </x:c>
      <x:c r="F7" s="26" t="str">
        <x:v>Hunter camp, hidden hut</x:v>
      </x:c>
      <x:c r="G7" s="26" t="str">
        <x:v>Ranged and leather upgrade region</x:v>
      </x:c>
    </x:row>
    <x:row r="8" ht="15" hidden="0" customHeight="1">
      <x:c r="A8" s="26" t="str">
        <x:v>Grubpit Quarry</x:v>
      </x:c>
      <x:c r="B8" s="26" t="str">
        <x:v>1-25</x:v>
      </x:c>
      <x:c r="C8" s="26" t="str">
        <x:v>Starter/iron mining</x:v>
      </x:c>
      <x:c r="D8" s="26" t="str">
        <x:v>Copper, tin, clay, iron teaser</x:v>
      </x:c>
      <x:c r="E8" s="26" t="str">
        <x:v>Cave Bug, Cave Bat</x:v>
      </x:c>
      <x:c r="F8" s="26" t="str">
        <x:v>Starter cave, quarry camp</x:v>
      </x:c>
      <x:c r="G8" s="26" t="str">
        <x:v>Metal tutorial into early iron</x:v>
      </x:c>
    </x:row>
    <x:row r="9" ht="15" hidden="0" customHeight="1">
      <x:c r="A9" s="26" t="str">
        <x:v>Northern Mine Hills</x:v>
      </x:c>
      <x:c r="B9" s="26" t="str">
        <x:v>20-55</x:v>
      </x:c>
      <x:c r="C9" s="26" t="str">
        <x:v>Mining specialist</x:v>
      </x:c>
      <x:c r="D9" s="26" t="str">
        <x:v>Iron, coal, silver, gold</x:v>
      </x:c>
      <x:c r="E9" s="26" t="str">
        <x:v>Iron Rock Crab, Cave Goblin Miner</x:v>
      </x:c>
      <x:c r="F9" s="26" t="str">
        <x:v>Mine camp, carts, caves</x:v>
      </x:c>
      <x:c r="G9" s="26" t="str">
        <x:v>Best midgame ore density</x:v>
      </x:c>
    </x:row>
    <x:row r="10" ht="15" hidden="0" customHeight="1">
      <x:c r="A10" s="26" t="str">
        <x:v>Bog of Grub</x:v>
      </x:c>
      <x:c r="B10" s="26" t="str">
        <x:v>25-60</x:v>
      </x:c>
      <x:c r="C10" s="26" t="str">
        <x:v>Swamp prep/danger</x:v>
      </x:c>
      <x:c r="D10" s="26" t="str">
        <x:v>Deadwood, swamp herbs, bog eel, slime</x:v>
      </x:c>
      <x:c r="E10" s="26" t="str">
        <x:v>Swamp Frog, Bog Rat, Bog Slime, Swamp Shaman</x:v>
      </x:c>
      <x:c r="F10" s="26" t="str">
        <x:v>Swamp shrine, boardwalks</x:v>
      </x:c>
      <x:c r="G10" s="26" t="str">
        <x:v>Poison prep, charms, swamp uniques</x:v>
      </x:c>
    </x:row>
    <x:row r="11" ht="15" hidden="0" customHeight="1">
      <x:c r="A11" s="26" t="str">
        <x:v>Mushroom Forest</x:v>
      </x:c>
      <x:c r="B11" s="26" t="str">
        <x:v>25-55</x:v>
      </x:c>
      <x:c r="C11" s="26" t="str">
        <x:v>Crafting/weird food</x:v>
      </x:c>
      <x:c r="D11" s="26" t="str">
        <x:v>Mushrooms, fungal logs, dead trees</x:v>
      </x:c>
      <x:c r="E11" s="26" t="str">
        <x:v>Fungal Goblin</x:v>
      </x:c>
      <x:c r="F11" s="26" t="str">
        <x:v>Witch hut, potion station</x:v>
      </x:c>
      <x:c r="G11" s="26" t="str">
        <x:v>Unlocks odd utility recipes</x:v>
      </x:c>
    </x:row>
    <x:row r="12" ht="15" hidden="0" customHeight="1">
      <x:c r="A12" s="26" t="str">
        <x:v>Rival Territory</x:v>
      </x:c>
      <x:c r="B12" s="26" t="str">
        <x:v>45-70</x:v>
      </x:c>
      <x:c r="C12" s="26" t="str">
        <x:v>Combat/unique gear</x:v>
      </x:c>
      <x:c r="D12" s="26" t="str">
        <x:v>Black iron, crates, captured gear</x:v>
      </x:c>
      <x:c r="E12" s="26" t="str">
        <x:v>Rival Warrior, Archer, Brute, Captain</x:v>
      </x:c>
      <x:c r="F12" s="26" t="str">
        <x:v>Captured anvil, boss arena</x:v>
      </x:c>
      <x:c r="G12" s="26" t="str">
        <x:v>First major hostile settlement</x:v>
      </x:c>
    </x:row>
    <x:row r="13" ht="15" hidden="0" customHeight="1">
      <x:c r="A13" s="26" t="str">
        <x:v>Troll Ridge</x:v>
      </x:c>
      <x:c r="B13" s="26" t="str">
        <x:v>55-80+</x:v>
      </x:c>
      <x:c r="C13" s="26" t="str">
        <x:v>High risk mining</x:v>
      </x:c>
      <x:c r="D13" s="26" t="str">
        <x:v>Coal, gold, gems, ironbark, meteor events</x:v>
      </x:c>
      <x:c r="E13" s="26" t="str">
        <x:v>Troll Whelp, Cave Troll</x:v>
      </x:c>
      <x:c r="F13" s="26" t="str">
        <x:v>Mountain pass, troll caves</x:v>
      </x:c>
      <x:c r="G13" s="26" t="str">
        <x:v>Late mining/combat goal</x:v>
      </x:c>
    </x:row>
  </x:sheetData>
  <x:pageMargins left="0.7" right="0.7" top="0.75" bottom="0.75" header="0.3" footer="0.3"/>
  <x:tableParts count="1">
    <x:tablePart xmlns:r="http://schemas.openxmlformats.org/officeDocument/2006/relationships" r:id="Rdacb175873cb409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 ht="15" hidden="0" customHeight="1">
      <x:c r="A1" s="20" t="str">
        <x:v>Rule</x:v>
      </x:c>
      <x:c r="B1" s="20" t="str">
        <x:v>Instruction</x:v>
      </x:c>
    </x:row>
    <x:row r="2" ht="15" hidden="0" customHeight="1">
      <x:c r="A2" s="26" t="str">
        <x:v>GP Value Ladder</x:v>
      </x:c>
      <x:c r="B2" s="26" t="str">
        <x:v>Raw materials should be low GP; processed bars/food should have better utility; rare uniques should be high value but low drop rate.</x:v>
      </x:c>
    </x:row>
    <x:row r="3" ht="15" hidden="0" customHeight="1">
      <x:c r="A3" s="26" t="str">
        <x:v>Resource Teasers</x:v>
      </x:c>
      <x:c r="B3" s="26" t="str">
        <x:v>Place a few high-level nodes near spawn so players see future progression, but low density prevents efficient leveling there.</x:v>
      </x:c>
    </x:row>
    <x:row r="4" ht="15" hidden="0" customHeight="1">
      <x:c r="A4" s="26" t="str">
        <x:v>Regional Identity</x:v>
      </x:c>
      <x:c r="B4" s="26" t="str">
        <x:v>Each region should have at least one best-in-world resource density or unique material.</x:v>
      </x:c>
    </x:row>
    <x:row r="5" ht="15" hidden="0" customHeight="1">
      <x:c r="A5" s="26" t="str">
        <x:v>Recipe Sinks</x:v>
      </x:c>
      <x:c r="B5" s="26" t="str">
        <x:v>Every common material needs a repeatable sink: arrows, food, nails, charms, offerings, tool repair, or station upgrades.</x:v>
      </x:c>
    </x:row>
    <x:row r="6" ht="15" hidden="0" customHeight="1">
      <x:c r="A6" s="26" t="str">
        <x:v>Monster Drops</x:v>
      </x:c>
      <x:c r="B6" s="26" t="str">
        <x:v>Every monster should drop at least one resource that feeds crafting, cooking, smithing, ranged, or quests.</x:v>
      </x:c>
    </x:row>
    <x:row r="7" ht="15" hidden="0" customHeight="1">
      <x:c r="A7" s="26" t="str">
        <x:v>Food Economy</x:v>
      </x:c>
      <x:c r="B7" s="26" t="str">
        <x:v>Food should be consumed often enough that fishing/cooking remain useful. High healing food should require dangerous or remote resources.</x:v>
      </x:c>
    </x:row>
    <x:row r="8" ht="15" hidden="0" customHeight="1">
      <x:c r="A8" s="26" t="str">
        <x:v>Ammo Economy</x:v>
      </x:c>
      <x:c r="B8" s="26" t="str">
        <x:v>Ranged should consume arrows to keep woodcutting, mining, smithing, crafting, and poison drops relevant.</x:v>
      </x:c>
    </x:row>
    <x:row r="9" ht="15" hidden="0" customHeight="1">
      <x:c r="A9" s="26" t="str">
        <x:v>Shortcuts</x:v>
      </x:c>
      <x:c r="B9" s="26" t="str">
        <x:v>Bridges/carts/boats should consume mixed materials so progression crosses skills.</x:v>
      </x:c>
    </x:row>
    <x:row r="10" ht="15" hidden="0" customHeight="1">
      <x:c r="A10" s="26" t="str">
        <x:v>Uniques</x:v>
      </x:c>
      <x:c r="B10" s="26" t="str">
        <x:v>Unique drops should usually be components, not finished best-in-slot items. Make players craft the final upgrade.</x:v>
      </x:c>
    </x:row>
    <x:row r="11" ht="15" hidden="0" customHeight="1">
      <x:c r="A11" s="26" t="str">
        <x:v>Avoid Silos</x:v>
      </x:c>
      <x:c r="B11" s="26" t="str">
        <x:v>Never create a resource that only sells for GP unless it is explicitly a trade good.</x:v>
      </x:c>
    </x:row>
  </x:sheetData>
  <x:pageMargins left="0.7" right="0.7" top="0.75" bottom="0.75" header="0.3" footer="0.3"/>
  <x:tableParts count="1">
    <x:tablePart xmlns:r="http://schemas.openxmlformats.org/officeDocument/2006/relationships" r:id="Re5806d17092f498d"/>
  </x:tableParts>
</x:worksheet>
</file>